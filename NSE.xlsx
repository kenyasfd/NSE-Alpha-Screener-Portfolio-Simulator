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2bc5b4bceed22/Documents/"/>
    </mc:Choice>
  </mc:AlternateContent>
  <xr:revisionPtr revIDLastSave="0" documentId="14_{307CF2BB-BFED-469F-AABE-36D9BCE8F49E}" xr6:coauthVersionLast="47" xr6:coauthVersionMax="47" xr10:uidLastSave="{00000000-0000-0000-0000-000000000000}"/>
  <bookViews>
    <workbookView xWindow="-110" yWindow="-110" windowWidth="19420" windowHeight="10300" firstSheet="1" activeTab="5" xr2:uid="{C34A89A9-A83D-4CE9-8AC9-0DD5F82C9E81}"/>
  </bookViews>
  <sheets>
    <sheet name="Stock_Data" sheetId="4" r:id="rId1"/>
    <sheet name="Screener" sheetId="2" r:id="rId2"/>
    <sheet name="Portfolio_Sim" sheetId="3" r:id="rId3"/>
    <sheet name="Sector_Analysis" sheetId="1" r:id="rId4"/>
    <sheet name="Dashboard" sheetId="5" r:id="rId5"/>
    <sheet name="Assump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17" i="3"/>
  <c r="M18" i="3"/>
  <c r="M19" i="3"/>
  <c r="D11" i="3"/>
  <c r="P11" i="3" s="1"/>
  <c r="D12" i="3"/>
  <c r="D13" i="3"/>
  <c r="D14" i="3"/>
  <c r="D15" i="3"/>
  <c r="P15" i="3" s="1"/>
  <c r="D16" i="3"/>
  <c r="P16" i="3" s="1"/>
  <c r="D17" i="3"/>
  <c r="P17" i="3" s="1"/>
  <c r="D18" i="3"/>
  <c r="P18" i="3" s="1"/>
  <c r="D19" i="3"/>
  <c r="P19" i="3" s="1"/>
  <c r="P12" i="3"/>
  <c r="P13" i="3"/>
  <c r="P14" i="3"/>
  <c r="Q11" i="3"/>
  <c r="Q12" i="3"/>
  <c r="Q13" i="3"/>
  <c r="Q14" i="3"/>
  <c r="Q15" i="3"/>
  <c r="Q16" i="3"/>
  <c r="Q17" i="3"/>
  <c r="Q18" i="3"/>
  <c r="Q19" i="3"/>
  <c r="Q10" i="3"/>
  <c r="P10" i="3"/>
  <c r="M10" i="3"/>
  <c r="L10" i="3"/>
  <c r="G11" i="3"/>
  <c r="G12" i="3"/>
  <c r="G13" i="3"/>
  <c r="G14" i="3"/>
  <c r="G15" i="3"/>
  <c r="G16" i="3"/>
  <c r="G17" i="3"/>
  <c r="G18" i="3"/>
  <c r="G19" i="3"/>
  <c r="G10" i="3"/>
  <c r="F11" i="3"/>
  <c r="F12" i="3"/>
  <c r="F13" i="3"/>
  <c r="F14" i="3"/>
  <c r="F15" i="3"/>
  <c r="F16" i="3"/>
  <c r="F17" i="3"/>
  <c r="F18" i="3"/>
  <c r="F19" i="3"/>
  <c r="F10" i="3"/>
  <c r="E11" i="3"/>
  <c r="J11" i="3" s="1"/>
  <c r="E12" i="3"/>
  <c r="E13" i="3"/>
  <c r="J13" i="3" s="1"/>
  <c r="L13" i="3" s="1"/>
  <c r="E14" i="3"/>
  <c r="E15" i="3"/>
  <c r="J15" i="3" s="1"/>
  <c r="L15" i="3" s="1"/>
  <c r="E16" i="3"/>
  <c r="J16" i="3" s="1"/>
  <c r="L16" i="3" s="1"/>
  <c r="E17" i="3"/>
  <c r="J17" i="3" s="1"/>
  <c r="L17" i="3" s="1"/>
  <c r="E18" i="3"/>
  <c r="J18" i="3" s="1"/>
  <c r="L18" i="3" s="1"/>
  <c r="E19" i="3"/>
  <c r="J19" i="3" s="1"/>
  <c r="L19" i="3" s="1"/>
  <c r="E10" i="3"/>
  <c r="J10" i="3" s="1"/>
  <c r="D10" i="3"/>
  <c r="C11" i="3"/>
  <c r="C12" i="3"/>
  <c r="C13" i="3"/>
  <c r="C14" i="3"/>
  <c r="C15" i="3"/>
  <c r="C16" i="3"/>
  <c r="C17" i="3"/>
  <c r="C18" i="3"/>
  <c r="C19" i="3"/>
  <c r="C10" i="3"/>
  <c r="K7" i="2"/>
  <c r="I7" i="2"/>
  <c r="J7" i="2" s="1"/>
  <c r="H7" i="2"/>
  <c r="G7" i="2"/>
  <c r="F7" i="2"/>
  <c r="E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C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7" i="2"/>
  <c r="B14" i="6"/>
  <c r="B22" i="3"/>
  <c r="B24" i="3" s="1"/>
  <c r="J12" i="3"/>
  <c r="K12" i="3" s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E8" i="2"/>
  <c r="E9" i="2"/>
  <c r="J9" i="2" s="1"/>
  <c r="L9" i="2" s="1" a="1"/>
  <c r="L9" i="2" s="1"/>
  <c r="E10" i="2"/>
  <c r="E11" i="2"/>
  <c r="E12" i="2"/>
  <c r="E13" i="2"/>
  <c r="E14" i="2"/>
  <c r="E15" i="2"/>
  <c r="E16" i="2"/>
  <c r="E17" i="2"/>
  <c r="J17" i="2" s="1"/>
  <c r="L17" i="2" s="1" a="1"/>
  <c r="L17" i="2" s="1"/>
  <c r="E18" i="2"/>
  <c r="E19" i="2"/>
  <c r="E20" i="2"/>
  <c r="E21" i="2"/>
  <c r="E22" i="2"/>
  <c r="E23" i="2"/>
  <c r="E24" i="2"/>
  <c r="E25" i="2"/>
  <c r="J25" i="2" s="1"/>
  <c r="L25" i="2" s="1" a="1"/>
  <c r="L25" i="2" s="1"/>
  <c r="E26" i="2"/>
  <c r="E27" i="2"/>
  <c r="E28" i="2"/>
  <c r="E29" i="2"/>
  <c r="E30" i="2"/>
  <c r="E31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L19" i="2" a="1"/>
  <c r="L19" i="2" s="1"/>
  <c r="J8" i="2"/>
  <c r="J10" i="2"/>
  <c r="L10" i="2" s="1" a="1"/>
  <c r="L10" i="2" s="1"/>
  <c r="J11" i="2"/>
  <c r="L11" i="2" s="1" a="1"/>
  <c r="L11" i="2" s="1"/>
  <c r="J12" i="2"/>
  <c r="L12" i="2" s="1" a="1"/>
  <c r="L12" i="2" s="1"/>
  <c r="J13" i="2"/>
  <c r="L13" i="2" s="1" a="1"/>
  <c r="L13" i="2" s="1"/>
  <c r="J14" i="2"/>
  <c r="L14" i="2" s="1" a="1"/>
  <c r="L14" i="2" s="1"/>
  <c r="J16" i="2"/>
  <c r="L16" i="2" s="1" a="1"/>
  <c r="L16" i="2" s="1"/>
  <c r="J18" i="2"/>
  <c r="L18" i="2" s="1" a="1"/>
  <c r="L18" i="2" s="1"/>
  <c r="J19" i="2"/>
  <c r="J20" i="2"/>
  <c r="L20" i="2" s="1" a="1"/>
  <c r="L20" i="2" s="1"/>
  <c r="J21" i="2"/>
  <c r="L21" i="2" s="1" a="1"/>
  <c r="L21" i="2" s="1"/>
  <c r="J22" i="2"/>
  <c r="L22" i="2" s="1" a="1"/>
  <c r="L22" i="2" s="1"/>
  <c r="J24" i="2"/>
  <c r="L24" i="2" s="1" a="1"/>
  <c r="L24" i="2" s="1"/>
  <c r="J26" i="2"/>
  <c r="L26" i="2" s="1" a="1"/>
  <c r="L26" i="2" s="1"/>
  <c r="J27" i="2"/>
  <c r="L27" i="2" s="1" a="1"/>
  <c r="L27" i="2" s="1"/>
  <c r="J28" i="2"/>
  <c r="L28" i="2" s="1" a="1"/>
  <c r="L28" i="2" s="1"/>
  <c r="J29" i="2"/>
  <c r="L29" i="2" s="1" a="1"/>
  <c r="L29" i="2" s="1"/>
  <c r="J30" i="2"/>
  <c r="L30" i="2" s="1" a="1"/>
  <c r="L30" i="2" s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I10" i="3"/>
  <c r="N10" i="3" s="1"/>
  <c r="B43" i="5"/>
  <c r="E55" i="5"/>
  <c r="B26" i="5"/>
  <c r="B27" i="5"/>
  <c r="B28" i="5"/>
  <c r="B29" i="5"/>
  <c r="B30" i="5"/>
  <c r="B25" i="5"/>
  <c r="A4" i="5"/>
  <c r="E5" i="1"/>
  <c r="E6" i="1"/>
  <c r="E7" i="1"/>
  <c r="E8" i="1"/>
  <c r="E9" i="1"/>
  <c r="F5" i="1"/>
  <c r="F6" i="1"/>
  <c r="F7" i="1"/>
  <c r="F8" i="1"/>
  <c r="F9" i="1"/>
  <c r="G5" i="1"/>
  <c r="G6" i="1"/>
  <c r="G7" i="1"/>
  <c r="G8" i="1"/>
  <c r="G9" i="1"/>
  <c r="G4" i="1"/>
  <c r="F4" i="1"/>
  <c r="E4" i="1"/>
  <c r="D5" i="1"/>
  <c r="D6" i="1"/>
  <c r="D7" i="1"/>
  <c r="D8" i="1"/>
  <c r="D9" i="1"/>
  <c r="D4" i="1"/>
  <c r="C5" i="1"/>
  <c r="C6" i="1"/>
  <c r="C7" i="1"/>
  <c r="C8" i="1"/>
  <c r="C9" i="1"/>
  <c r="C4" i="1"/>
  <c r="B5" i="1"/>
  <c r="B6" i="1"/>
  <c r="B7" i="1"/>
  <c r="B8" i="1"/>
  <c r="B9" i="1"/>
  <c r="B4" i="1"/>
  <c r="I11" i="3"/>
  <c r="I12" i="3"/>
  <c r="N12" i="3" s="1"/>
  <c r="I13" i="3"/>
  <c r="I14" i="3"/>
  <c r="I15" i="3"/>
  <c r="N15" i="3" s="1"/>
  <c r="I16" i="3"/>
  <c r="N16" i="3" s="1"/>
  <c r="I17" i="3"/>
  <c r="I18" i="3"/>
  <c r="I19" i="3"/>
  <c r="J14" i="3"/>
  <c r="L14" i="3" s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3" i="4"/>
  <c r="N17" i="3" l="1"/>
  <c r="N14" i="3"/>
  <c r="N13" i="3"/>
  <c r="L12" i="3"/>
  <c r="N11" i="3"/>
  <c r="K11" i="3"/>
  <c r="L11" i="3"/>
  <c r="L7" i="2" a="1"/>
  <c r="L7" i="2" s="1"/>
  <c r="J31" i="2"/>
  <c r="L31" i="2" s="1" a="1"/>
  <c r="L31" i="2" s="1"/>
  <c r="J23" i="2"/>
  <c r="L23" i="2" s="1" a="1"/>
  <c r="L23" i="2" s="1"/>
  <c r="J15" i="2"/>
  <c r="L15" i="2" s="1" a="1"/>
  <c r="L15" i="2" s="1"/>
  <c r="L8" i="2" a="1"/>
  <c r="L8" i="2" s="1"/>
  <c r="K17" i="2"/>
  <c r="K10" i="3"/>
  <c r="N19" i="3"/>
  <c r="N18" i="3"/>
  <c r="K19" i="3"/>
  <c r="K18" i="3"/>
  <c r="K17" i="3"/>
  <c r="K16" i="3"/>
  <c r="K15" i="3"/>
  <c r="K14" i="3"/>
  <c r="K13" i="3"/>
  <c r="B23" i="3" l="1"/>
  <c r="K19" i="2"/>
  <c r="K30" i="2"/>
  <c r="K31" i="2"/>
  <c r="K28" i="2"/>
  <c r="K24" i="2"/>
  <c r="K16" i="2"/>
  <c r="K9" i="2"/>
  <c r="K21" i="2"/>
  <c r="K26" i="2"/>
  <c r="K14" i="2"/>
  <c r="K11" i="2"/>
  <c r="K23" i="2"/>
  <c r="K27" i="2"/>
  <c r="K13" i="2"/>
  <c r="K25" i="2"/>
  <c r="K22" i="2"/>
  <c r="K15" i="2"/>
  <c r="K10" i="2"/>
  <c r="K20" i="2"/>
  <c r="K8" i="2"/>
  <c r="K18" i="2"/>
  <c r="K12" i="2"/>
  <c r="K29" i="2"/>
  <c r="I4" i="1"/>
  <c r="H8" i="1"/>
  <c r="J8" i="1" s="1" a="1"/>
  <c r="J8" i="1" s="1"/>
  <c r="H5" i="1"/>
  <c r="J5" i="1" s="1" a="1"/>
  <c r="J5" i="1" s="1"/>
  <c r="H9" i="1"/>
  <c r="J9" i="1" s="1" a="1"/>
  <c r="J9" i="1" s="1"/>
  <c r="H4" i="1"/>
  <c r="J4" i="1" s="1" a="1"/>
  <c r="J4" i="1" s="1"/>
  <c r="I5" i="1"/>
  <c r="H7" i="1"/>
  <c r="J7" i="1" s="1" a="1"/>
  <c r="J7" i="1" s="1"/>
  <c r="B26" i="3"/>
  <c r="B25" i="3"/>
  <c r="M4" i="5" l="1"/>
  <c r="B27" i="3"/>
  <c r="B28" i="3" s="1"/>
  <c r="B42" i="5"/>
  <c r="Q4" i="5" l="1"/>
  <c r="B11" i="5"/>
  <c r="A11" i="5" s="1"/>
  <c r="I8" i="1" l="1"/>
  <c r="I9" i="1"/>
  <c r="I7" i="1"/>
  <c r="B13" i="5"/>
  <c r="A13" i="5" s="1"/>
  <c r="I6" i="1"/>
  <c r="C3" i="2"/>
  <c r="C4" i="2"/>
  <c r="B16" i="5"/>
  <c r="A16" i="5" s="1"/>
  <c r="B12" i="5"/>
  <c r="A12" i="5" s="1"/>
  <c r="B15" i="5"/>
  <c r="A15" i="5" s="1"/>
  <c r="B17" i="5"/>
  <c r="A17" i="5" s="1"/>
  <c r="B14" i="5"/>
  <c r="A14" i="5" s="1"/>
  <c r="I4" i="5"/>
  <c r="B18" i="5"/>
  <c r="A18" i="5" s="1"/>
  <c r="B19" i="5"/>
  <c r="A19" i="5" s="1"/>
  <c r="H6" i="1"/>
  <c r="J6" i="1" s="1" a="1"/>
  <c r="J6" i="1" s="1"/>
  <c r="C5" i="2"/>
  <c r="C59" i="5" l="1"/>
  <c r="G59" i="5" s="1"/>
  <c r="C60" i="5"/>
  <c r="G60" i="5" s="1"/>
  <c r="D63" i="5"/>
  <c r="E60" i="5"/>
  <c r="H60" i="5" s="1"/>
  <c r="D59" i="5"/>
  <c r="F61" i="5"/>
  <c r="D61" i="5"/>
  <c r="C63" i="5"/>
  <c r="G63" i="5" s="1"/>
  <c r="D62" i="5"/>
  <c r="E59" i="5"/>
  <c r="H59" i="5" s="1"/>
  <c r="D60" i="5"/>
  <c r="F60" i="5"/>
  <c r="E61" i="5"/>
  <c r="H61" i="5" s="1"/>
  <c r="E62" i="5"/>
  <c r="H62" i="5" s="1"/>
  <c r="F62" i="5"/>
  <c r="C61" i="5"/>
  <c r="G61" i="5" s="1"/>
  <c r="F59" i="5"/>
  <c r="E63" i="5"/>
  <c r="H63" i="5" s="1"/>
  <c r="B63" i="5"/>
  <c r="B59" i="5"/>
  <c r="B61" i="5"/>
  <c r="B62" i="5"/>
  <c r="C2" i="2"/>
  <c r="E4" i="5"/>
  <c r="B60" i="5"/>
  <c r="F63" i="5"/>
  <c r="C62" i="5"/>
  <c r="G6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<sst xmlns="http://schemas.openxmlformats.org/spreadsheetml/2006/main" count="256" uniqueCount="173">
  <si>
    <t>#</t>
  </si>
  <si>
    <t>Company Name</t>
  </si>
  <si>
    <t>Ticker</t>
  </si>
  <si>
    <t>Sector</t>
  </si>
  <si>
    <t>Current Price(KES)</t>
  </si>
  <si>
    <t>52-Week High(KES)</t>
  </si>
  <si>
    <t>EPS (KES)</t>
  </si>
  <si>
    <t>P/E Ratio</t>
  </si>
  <si>
    <t>52-Week Low (KES)</t>
  </si>
  <si>
    <t>Book Value Per Share (KES)</t>
  </si>
  <si>
    <t>P/B Ratio</t>
  </si>
  <si>
    <t>Dividend Per Share (KES)</t>
  </si>
  <si>
    <t>Dividend Yield (%)</t>
  </si>
  <si>
    <t>EPS Growth YoY (%)</t>
  </si>
  <si>
    <t>Market Cap (KES Millions)</t>
  </si>
  <si>
    <t>Data Source</t>
  </si>
  <si>
    <t>Equity Group Holdings</t>
  </si>
  <si>
    <t>EQTY</t>
  </si>
  <si>
    <t>Banking</t>
  </si>
  <si>
    <t>NSE/Investing.com</t>
  </si>
  <si>
    <t>KCB Group</t>
  </si>
  <si>
    <t>Co-operative Bank</t>
  </si>
  <si>
    <t>NCBA Group</t>
  </si>
  <si>
    <t>Diamond Trust Bank</t>
  </si>
  <si>
    <t>Stanbic Holdings</t>
  </si>
  <si>
    <t>Standard Chartered</t>
  </si>
  <si>
    <t>KCB</t>
  </si>
  <si>
    <t>NCBA</t>
  </si>
  <si>
    <t>COOP</t>
  </si>
  <si>
    <t>DTB</t>
  </si>
  <si>
    <t>SBIC</t>
  </si>
  <si>
    <t>SCBK</t>
  </si>
  <si>
    <t>Safaricom PLC</t>
  </si>
  <si>
    <t>SCOM</t>
  </si>
  <si>
    <t>Telco</t>
  </si>
  <si>
    <t>Jubilee Holdings</t>
  </si>
  <si>
    <t>Britam Holdings</t>
  </si>
  <si>
    <t>CIC Insurance</t>
  </si>
  <si>
    <t>Kenya Reinsurance</t>
  </si>
  <si>
    <t>KNRE</t>
  </si>
  <si>
    <t>CIC</t>
  </si>
  <si>
    <t>BRIT</t>
  </si>
  <si>
    <t>JUB</t>
  </si>
  <si>
    <t>Insurance</t>
  </si>
  <si>
    <t>EABL</t>
  </si>
  <si>
    <t>BAT Kenya</t>
  </si>
  <si>
    <t>Unga Group</t>
  </si>
  <si>
    <t>Crown Paints</t>
  </si>
  <si>
    <t>BAT</t>
  </si>
  <si>
    <t>UNGA</t>
  </si>
  <si>
    <t>BERG</t>
  </si>
  <si>
    <t>Manufacturing</t>
  </si>
  <si>
    <t>TotalEnergies Kenya</t>
  </si>
  <si>
    <t>KenolKobil</t>
  </si>
  <si>
    <t>Kenya Power</t>
  </si>
  <si>
    <t>Umeme Ltd</t>
  </si>
  <si>
    <t>TOTAL</t>
  </si>
  <si>
    <t>KENO</t>
  </si>
  <si>
    <t>KPLC</t>
  </si>
  <si>
    <t>UMME</t>
  </si>
  <si>
    <t>Energy</t>
  </si>
  <si>
    <t>Centum Investment</t>
  </si>
  <si>
    <t>I&amp;M Holdings</t>
  </si>
  <si>
    <t>Olympia Capital</t>
  </si>
  <si>
    <t>Nation Media Group</t>
  </si>
  <si>
    <t>Bamburi Cement</t>
  </si>
  <si>
    <t>BAMB</t>
  </si>
  <si>
    <t>NMG</t>
  </si>
  <si>
    <t>OCH</t>
  </si>
  <si>
    <t>IMH</t>
  </si>
  <si>
    <t>CTUM</t>
  </si>
  <si>
    <t>Investment</t>
  </si>
  <si>
    <t>NSE ALPHA SCREENER — Stock Scoring Model (Dec 2024)</t>
  </si>
  <si>
    <t>NSE ALPHA SCREENER — Stock Universe Data (Dec 2024)</t>
  </si>
  <si>
    <t>P/E Score (25%)</t>
  </si>
  <si>
    <t>Div Yield Score (20%)</t>
  </si>
  <si>
    <t>EPS Growth Score (20%)</t>
  </si>
  <si>
    <t>P/B Score (20%)</t>
  </si>
  <si>
    <t>Momentum Score (15%)</t>
  </si>
  <si>
    <t>COMPOSITE SCORE</t>
  </si>
  <si>
    <t>RANK</t>
  </si>
  <si>
    <t>RATING</t>
  </si>
  <si>
    <t>Momentum Ratio</t>
  </si>
  <si>
    <t>Stocks Rated "Buy"+:</t>
  </si>
  <si>
    <t>Average Score:</t>
  </si>
  <si>
    <t>Highest Score:</t>
  </si>
  <si>
    <t>Top Ranked Stock:</t>
  </si>
  <si>
    <t>NSE PORTFOLIO SIMULATOR - Capital Allocation Engine</t>
  </si>
  <si>
    <t>PORFOLIO SETTINGS</t>
  </si>
  <si>
    <t>Data As At:</t>
  </si>
  <si>
    <t>Starting Capital (KES):</t>
  </si>
  <si>
    <t>Risk-Free Rate (%):</t>
  </si>
  <si>
    <t>Investment Horizon (Years):</t>
  </si>
  <si>
    <t>Stock Ticker</t>
  </si>
  <si>
    <t>Current Price (KES)</t>
  </si>
  <si>
    <t>Composite Score</t>
  </si>
  <si>
    <t>Rating</t>
  </si>
  <si>
    <t>Amount Invested (KES)</t>
  </si>
  <si>
    <t>Allocation %</t>
  </si>
  <si>
    <t>Shares Purchased</t>
  </si>
  <si>
    <t>Current Value (KES)</t>
  </si>
  <si>
    <t>Expected Return %</t>
  </si>
  <si>
    <t>Weighted Return</t>
  </si>
  <si>
    <t>PORTFOLIO SUMMARY</t>
  </si>
  <si>
    <t>Total Current Value (KES):</t>
  </si>
  <si>
    <t>Total Capital Deployed(KES):</t>
  </si>
  <si>
    <t>Undeployed Capital (KES):</t>
  </si>
  <si>
    <t>Annual Dividend Income (KES):</t>
  </si>
  <si>
    <t>Weighted Portfolio Return (%):</t>
  </si>
  <si>
    <t>vs Risk-Free Rate (%):</t>
  </si>
  <si>
    <t>Porfolio Rating:</t>
  </si>
  <si>
    <t>Amount</t>
  </si>
  <si>
    <t>NSE SECTOR ANALYSIS Comparitive Intelligence (Dec 2024)</t>
  </si>
  <si>
    <t>No. of Stocks</t>
  </si>
  <si>
    <t>Avg Price (KES)</t>
  </si>
  <si>
    <t>Avg P/E</t>
  </si>
  <si>
    <t>Avg Div Yield (%)</t>
  </si>
  <si>
    <t>Avg EPS Growth (%)</t>
  </si>
  <si>
    <t>Avg P/B</t>
  </si>
  <si>
    <t>Avg Composite Score</t>
  </si>
  <si>
    <t>Best Stock</t>
  </si>
  <si>
    <t>Sector Rating</t>
  </si>
  <si>
    <t>🇰🇪 NSE ALPHA SCREENER — Executive Dashboard (Dec 2024)</t>
  </si>
  <si>
    <t>NSE Listed Universe</t>
  </si>
  <si>
    <t>STOCKS ANALYSED</t>
  </si>
  <si>
    <t>TOP RANKED STOCK</t>
  </si>
  <si>
    <t>Rank #1 by Composite Score</t>
  </si>
  <si>
    <t xml:space="preserve"> HIGHEST SCORE</t>
  </si>
  <si>
    <t>Best Composite Score</t>
  </si>
  <si>
    <t>PORTFOLIO RETURN</t>
  </si>
  <si>
    <t>Weighted Annual Yield</t>
  </si>
  <si>
    <t>ALPHA GENERATED</t>
  </si>
  <si>
    <t>vs Kenya T-Bill Rate</t>
  </si>
  <si>
    <t>Label</t>
  </si>
  <si>
    <t>Return(%)</t>
  </si>
  <si>
    <t>My Porfolio</t>
  </si>
  <si>
    <t>Kenya T-Bill</t>
  </si>
  <si>
    <t>Rank</t>
  </si>
  <si>
    <t>Company</t>
  </si>
  <si>
    <t>Score</t>
  </si>
  <si>
    <t>Div Yield</t>
  </si>
  <si>
    <t>Action</t>
  </si>
  <si>
    <t xml:space="preserve"> TOP 5 NSE STOCKS — ALPHA SCREENER PICKS</t>
  </si>
  <si>
    <t>Dividend Income  (KES)</t>
  </si>
  <si>
    <t>MODEL ASSUMPTIONS &amp; METHODOLOGY</t>
  </si>
  <si>
    <t>MODEL VERSION</t>
  </si>
  <si>
    <t>NSE Alpha Screener v1.0</t>
  </si>
  <si>
    <t>Built By</t>
  </si>
  <si>
    <t>Stephen Maina</t>
  </si>
  <si>
    <t>Data AS AT</t>
  </si>
  <si>
    <t>Data Sources</t>
  </si>
  <si>
    <t>NSE,Investing.com,African Markets</t>
  </si>
  <si>
    <t>SCORING WEIGHTS</t>
  </si>
  <si>
    <t>P/E Ratio Weight</t>
  </si>
  <si>
    <t>Dividend Yield Weight</t>
  </si>
  <si>
    <t>EPS Growth Weight</t>
  </si>
  <si>
    <t>P/B Ratio Weight</t>
  </si>
  <si>
    <t>Momentum Weight</t>
  </si>
  <si>
    <t>PORTFOLIO SETTINGS</t>
  </si>
  <si>
    <t>Starting Capital (KES)</t>
  </si>
  <si>
    <t>Risk_Free Rate</t>
  </si>
  <si>
    <t>Investment Horizon (Years)</t>
  </si>
  <si>
    <t>RATING THRESHOLDS</t>
  </si>
  <si>
    <t>Strong Buy</t>
  </si>
  <si>
    <t>Buy</t>
  </si>
  <si>
    <t>Hold</t>
  </si>
  <si>
    <t>Underperform</t>
  </si>
  <si>
    <t>Avoid</t>
  </si>
  <si>
    <t>Score &gt;75</t>
  </si>
  <si>
    <t>Score 60-74</t>
  </si>
  <si>
    <t>Score 45-59</t>
  </si>
  <si>
    <t>Score 30-44</t>
  </si>
  <si>
    <t>Score &lt;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</si>
</sst>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&quot;KES &quot;#,##0"/>
    <numFmt numFmtId="166" formatCode="&quot;KES&quot;\ #,##0"/>
    <numFmt numFmtId="167" formatCode="0.0%"/>
    <numFmt numFmtId="168" formatCode="&quot;KES&quot;\ #,##0.00"/>
    <numFmt numFmtId="169" formatCode="0.000"/>
    <numFmt numFmtId="170" formatCode="&quot;KES 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2" fontId="1" fillId="2" borderId="4" xfId="0" applyNumberFormat="1" applyFont="1" applyFill="1" applyBorder="1" applyAlignment="1">
      <alignment wrapText="1"/>
    </xf>
    <xf numFmtId="164" fontId="0" fillId="0" borderId="0" xfId="0" applyNumberFormat="1"/>
    <xf numFmtId="0" fontId="7" fillId="0" borderId="0" xfId="0" applyFont="1"/>
    <xf numFmtId="0" fontId="4" fillId="5" borderId="1" xfId="0" applyFont="1" applyFill="1" applyBorder="1" applyAlignment="1">
      <alignment wrapText="1"/>
    </xf>
    <xf numFmtId="164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" fillId="6" borderId="1" xfId="0" applyFont="1" applyFill="1" applyBorder="1"/>
    <xf numFmtId="164" fontId="6" fillId="6" borderId="1" xfId="0" applyNumberFormat="1" applyFont="1" applyFill="1" applyBorder="1"/>
    <xf numFmtId="0" fontId="9" fillId="7" borderId="0" xfId="0" applyFont="1" applyFill="1"/>
    <xf numFmtId="0" fontId="10" fillId="8" borderId="0" xfId="0" applyFont="1" applyFill="1"/>
    <xf numFmtId="17" fontId="10" fillId="8" borderId="0" xfId="0" applyNumberFormat="1" applyFont="1" applyFill="1"/>
    <xf numFmtId="0" fontId="10" fillId="9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166" fontId="0" fillId="0" borderId="0" xfId="0" applyNumberFormat="1"/>
    <xf numFmtId="166" fontId="13" fillId="10" borderId="0" xfId="1" applyNumberFormat="1" applyFont="1" applyFill="1"/>
    <xf numFmtId="166" fontId="12" fillId="10" borderId="0" xfId="1" applyNumberFormat="1" applyFont="1" applyFill="1"/>
    <xf numFmtId="9" fontId="0" fillId="0" borderId="0" xfId="1" applyFont="1"/>
    <xf numFmtId="167" fontId="0" fillId="0" borderId="0" xfId="1" applyNumberFormat="1" applyFont="1"/>
    <xf numFmtId="10" fontId="0" fillId="0" borderId="0" xfId="1" applyNumberFormat="1" applyFont="1"/>
    <xf numFmtId="0" fontId="11" fillId="11" borderId="5" xfId="0" applyFont="1" applyFill="1" applyBorder="1"/>
    <xf numFmtId="0" fontId="11" fillId="11" borderId="5" xfId="0" applyFont="1" applyFill="1" applyBorder="1" applyAlignment="1">
      <alignment wrapText="1"/>
    </xf>
    <xf numFmtId="166" fontId="11" fillId="11" borderId="5" xfId="0" applyNumberFormat="1" applyFont="1" applyFill="1" applyBorder="1"/>
    <xf numFmtId="165" fontId="11" fillId="11" borderId="5" xfId="0" applyNumberFormat="1" applyFont="1" applyFill="1" applyBorder="1"/>
    <xf numFmtId="9" fontId="11" fillId="11" borderId="5" xfId="1" applyFont="1" applyFill="1" applyBorder="1"/>
    <xf numFmtId="0" fontId="14" fillId="11" borderId="5" xfId="0" applyFont="1" applyFill="1" applyBorder="1"/>
    <xf numFmtId="0" fontId="15" fillId="7" borderId="0" xfId="0" applyFont="1" applyFill="1"/>
    <xf numFmtId="0" fontId="16" fillId="7" borderId="0" xfId="0" applyFont="1" applyFill="1"/>
    <xf numFmtId="0" fontId="17" fillId="12" borderId="0" xfId="0" applyFont="1" applyFill="1"/>
    <xf numFmtId="168" fontId="0" fillId="0" borderId="0" xfId="0" applyNumberFormat="1"/>
    <xf numFmtId="169" fontId="0" fillId="0" borderId="0" xfId="0" applyNumberFormat="1"/>
    <xf numFmtId="0" fontId="18" fillId="12" borderId="0" xfId="0" applyFont="1" applyFill="1"/>
    <xf numFmtId="0" fontId="1" fillId="14" borderId="0" xfId="0" applyFont="1" applyFill="1"/>
    <xf numFmtId="0" fontId="1" fillId="14" borderId="0" xfId="0" applyFont="1" applyFill="1" applyAlignment="1">
      <alignment horizontal="center"/>
    </xf>
    <xf numFmtId="0" fontId="1" fillId="14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1" fillId="14" borderId="0" xfId="0" applyFont="1" applyFill="1" applyAlignment="1">
      <alignment vertical="center"/>
    </xf>
    <xf numFmtId="0" fontId="21" fillId="15" borderId="0" xfId="0" applyFont="1" applyFill="1"/>
    <xf numFmtId="0" fontId="1" fillId="15" borderId="0" xfId="0" applyFont="1" applyFill="1"/>
    <xf numFmtId="0" fontId="1" fillId="16" borderId="0" xfId="0" applyFont="1" applyFill="1"/>
    <xf numFmtId="0" fontId="19" fillId="16" borderId="0" xfId="0" applyFont="1" applyFill="1"/>
    <xf numFmtId="0" fontId="21" fillId="16" borderId="0" xfId="0" applyFont="1" applyFill="1"/>
    <xf numFmtId="0" fontId="1" fillId="17" borderId="0" xfId="0" applyFont="1" applyFill="1"/>
    <xf numFmtId="9" fontId="19" fillId="17" borderId="0" xfId="0" applyNumberFormat="1" applyFont="1" applyFill="1"/>
    <xf numFmtId="0" fontId="21" fillId="17" borderId="0" xfId="0" applyFont="1" applyFill="1"/>
    <xf numFmtId="0" fontId="21" fillId="18" borderId="0" xfId="0" applyFont="1" applyFill="1"/>
    <xf numFmtId="0" fontId="1" fillId="18" borderId="0" xfId="0" applyFont="1" applyFill="1"/>
    <xf numFmtId="9" fontId="19" fillId="18" borderId="0" xfId="0" applyNumberFormat="1" applyFont="1" applyFill="1"/>
    <xf numFmtId="0" fontId="22" fillId="14" borderId="0" xfId="0" applyFont="1" applyFill="1" applyAlignment="1">
      <alignment vertical="center"/>
    </xf>
    <xf numFmtId="0" fontId="22" fillId="15" borderId="0" xfId="0" applyFont="1" applyFill="1"/>
    <xf numFmtId="0" fontId="22" fillId="16" borderId="0" xfId="0" applyFont="1" applyFill="1"/>
    <xf numFmtId="0" fontId="22" fillId="17" borderId="0" xfId="0" applyFont="1" applyFill="1"/>
    <xf numFmtId="0" fontId="22" fillId="18" borderId="0" xfId="0" applyFont="1" applyFill="1"/>
    <xf numFmtId="0" fontId="19" fillId="15" borderId="0" xfId="0" applyFont="1" applyFill="1"/>
    <xf numFmtId="9" fontId="0" fillId="0" borderId="0" xfId="0" applyNumberFormat="1"/>
    <xf numFmtId="0" fontId="8" fillId="18" borderId="0" xfId="0" applyFont="1" applyFill="1"/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8" fillId="19" borderId="0" xfId="0" applyFont="1" applyFill="1" applyAlignment="1">
      <alignment horizontal="center"/>
    </xf>
    <xf numFmtId="2" fontId="8" fillId="19" borderId="0" xfId="0" applyNumberFormat="1" applyFont="1" applyFill="1" applyAlignment="1">
      <alignment horizontal="center"/>
    </xf>
    <xf numFmtId="0" fontId="8" fillId="16" borderId="0" xfId="1" applyNumberFormat="1" applyFont="1" applyFill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2" fontId="8" fillId="16" borderId="0" xfId="0" applyNumberFormat="1" applyFont="1" applyFill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4" borderId="0" xfId="0" applyFont="1" applyFill="1" applyAlignment="1">
      <alignment horizontal="center"/>
    </xf>
    <xf numFmtId="2" fontId="8" fillId="14" borderId="0" xfId="0" applyNumberFormat="1" applyFont="1" applyFill="1" applyAlignment="1">
      <alignment horizontal="center"/>
    </xf>
    <xf numFmtId="0" fontId="8" fillId="14" borderId="0" xfId="1" applyNumberFormat="1" applyFont="1" applyFill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8" fillId="20" borderId="0" xfId="0" applyFont="1" applyFill="1" applyAlignment="1">
      <alignment horizontal="center"/>
    </xf>
    <xf numFmtId="2" fontId="8" fillId="20" borderId="0" xfId="0" applyNumberFormat="1" applyFont="1" applyFill="1" applyAlignment="1">
      <alignment horizontal="center"/>
    </xf>
    <xf numFmtId="0" fontId="8" fillId="20" borderId="0" xfId="1" applyNumberFormat="1" applyFont="1" applyFill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17" borderId="0" xfId="0" applyFont="1" applyFill="1" applyAlignment="1">
      <alignment horizontal="center"/>
    </xf>
    <xf numFmtId="2" fontId="8" fillId="17" borderId="0" xfId="0" applyNumberFormat="1" applyFont="1" applyFill="1" applyAlignment="1">
      <alignment horizontal="center"/>
    </xf>
    <xf numFmtId="0" fontId="8" fillId="17" borderId="0" xfId="1" applyNumberFormat="1" applyFont="1" applyFill="1" applyAlignment="1">
      <alignment horizontal="center"/>
    </xf>
    <xf numFmtId="0" fontId="14" fillId="8" borderId="0" xfId="0" applyFont="1" applyFill="1"/>
    <xf numFmtId="165" fontId="1" fillId="14" borderId="0" xfId="0" applyNumberFormat="1" applyFont="1" applyFill="1"/>
    <xf numFmtId="0" fontId="8" fillId="6" borderId="0" xfId="0" applyFont="1" applyFill="1"/>
    <xf numFmtId="0" fontId="0" fillId="22" borderId="0" xfId="0" applyFill="1"/>
    <xf numFmtId="0" fontId="8" fillId="13" borderId="0" xfId="0" applyFont="1" applyFill="1"/>
    <xf numFmtId="17" fontId="8" fillId="13" borderId="0" xfId="0" applyNumberFormat="1" applyFont="1" applyFill="1"/>
    <xf numFmtId="9" fontId="8" fillId="13" borderId="0" xfId="0" applyNumberFormat="1" applyFont="1" applyFill="1"/>
    <xf numFmtId="3" fontId="8" fillId="13" borderId="0" xfId="0" applyNumberFormat="1" applyFont="1" applyFill="1"/>
    <xf numFmtId="10" fontId="8" fillId="13" borderId="0" xfId="0" applyNumberFormat="1" applyFont="1" applyFill="1"/>
    <xf numFmtId="0" fontId="2" fillId="3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23" fillId="6" borderId="0" xfId="0" applyFont="1" applyFill="1"/>
    <xf numFmtId="0" fontId="20" fillId="21" borderId="0" xfId="0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1" fillId="18" borderId="0" xfId="0" applyFont="1" applyFill="1"/>
    <xf numFmtId="0" fontId="1" fillId="16" borderId="0" xfId="0" applyFont="1" applyFill="1"/>
    <xf numFmtId="0" fontId="1" fillId="2" borderId="0" xfId="0" applyFont="1" applyFill="1"/>
    <xf numFmtId="170" fontId="0" fillId="0" borderId="0" xfId="0" applyNumberFormat="1"/>
  </cellXfs>
  <cellStyles count="2">
    <cellStyle name="Normal" xfId="0" builtinId="0"/>
    <cellStyle name="Percent" xfId="1" builtinId="5"/>
  </cellStyles>
  <dxfs count="5">
    <dxf>
      <font>
        <color theme="2" tint="-9.9948118533890809E-2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0.39994506668294322"/>
      </font>
    </dxf>
    <dxf>
      <font>
        <color theme="8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Portfolio Sector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Portfolio_Sim!$Q$9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Portfolio_Sim!$P$10:$P$19</c:f>
              <c:strCache>
                <c:ptCount val="10"/>
                <c:pt idx="0">
                  <c:v>Banking</c:v>
                </c:pt>
                <c:pt idx="1">
                  <c:v>Banking</c:v>
                </c:pt>
                <c:pt idx="2">
                  <c:v>Banking</c:v>
                </c:pt>
                <c:pt idx="3">
                  <c:v>Manufacturing</c:v>
                </c:pt>
                <c:pt idx="4">
                  <c:v>Energy</c:v>
                </c:pt>
                <c:pt idx="5">
                  <c:v>Manufacturing</c:v>
                </c:pt>
                <c:pt idx="6">
                  <c:v>Insurance</c:v>
                </c:pt>
                <c:pt idx="7">
                  <c:v>Insurance</c:v>
                </c:pt>
                <c:pt idx="8">
                  <c:v>Insurance</c:v>
                </c:pt>
                <c:pt idx="9">
                  <c:v>Manufacturing</c:v>
                </c:pt>
              </c:strCache>
            </c:strRef>
          </c:cat>
          <c:val>
            <c:numRef>
              <c:f>Portfolio_Sim!$Q$10:$Q$19</c:f>
              <c:numCache>
                <c:formatCode>"KES"\ #,##0</c:formatCode>
                <c:ptCount val="10"/>
                <c:pt idx="0">
                  <c:v>20000</c:v>
                </c:pt>
                <c:pt idx="1">
                  <c:v>70000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1000</c:v>
                </c:pt>
                <c:pt idx="6">
                  <c:v>5000</c:v>
                </c:pt>
                <c:pt idx="7">
                  <c:v>50000</c:v>
                </c:pt>
                <c:pt idx="8">
                  <c:v>60000</c:v>
                </c:pt>
                <c:pt idx="9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4-48B3-96CC-69402C4CD7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Composite Score by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02602799650044"/>
          <c:y val="0.19486111111111112"/>
          <c:w val="0.7553768591426072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Sector_Analysis!$H$3</c:f>
              <c:strCache>
                <c:ptCount val="1"/>
                <c:pt idx="0">
                  <c:v>Avg Composite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D8-4355-96CB-AFA71DC839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D8-4355-96CB-AFA71DC839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8-4355-96CB-AFA71DC8392F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D8-4355-96CB-AFA71DC839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8-4355-96CB-AFA71DC839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D8-4355-96CB-AFA71DC839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Sector_Analysis!$A$4:$A$9</c:f>
              <c:strCache>
                <c:ptCount val="6"/>
                <c:pt idx="0">
                  <c:v>Banking</c:v>
                </c:pt>
                <c:pt idx="1">
                  <c:v>Telco</c:v>
                </c:pt>
                <c:pt idx="2">
                  <c:v>Insurance</c:v>
                </c:pt>
                <c:pt idx="3">
                  <c:v>Manufacturing</c:v>
                </c:pt>
                <c:pt idx="4">
                  <c:v>Energy</c:v>
                </c:pt>
                <c:pt idx="5">
                  <c:v>Investment</c:v>
                </c:pt>
              </c:strCache>
            </c:strRef>
          </c:cat>
          <c:val>
            <c:numRef>
              <c:f>Sector_Analysis!$H$4:$H$9</c:f>
              <c:numCache>
                <c:formatCode>0.0</c:formatCode>
                <c:ptCount val="6"/>
                <c:pt idx="0">
                  <c:v>64.642142857142858</c:v>
                </c:pt>
                <c:pt idx="1">
                  <c:v>19.155000000000001</c:v>
                </c:pt>
                <c:pt idx="2">
                  <c:v>46.811250000000001</c:v>
                </c:pt>
                <c:pt idx="3">
                  <c:v>38.550000000000004</c:v>
                </c:pt>
                <c:pt idx="4">
                  <c:v>57.09</c:v>
                </c:pt>
                <c:pt idx="5">
                  <c:v>62.391249999999999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355-96CB-AFA71DC83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1274720"/>
        <c:axId val="2031276800"/>
      </c:barChart>
      <c:catAx>
        <c:axId val="203127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6800"/>
        <c:crosses val="autoZero"/>
        <c:auto val="1"/>
        <c:lblAlgn val="ctr"/>
        <c:lblOffset val="100"/>
        <c:noMultiLvlLbl val="0"/>
      </c:catAx>
      <c:valAx>
        <c:axId val="20312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Dividend Yield by Sector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Sector_Analysis!$E$3</c:f>
              <c:strCache>
                <c:ptCount val="1"/>
                <c:pt idx="0">
                  <c:v>Avg Div Yield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A0-47B1-BA22-19A5A651516D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0-47B1-BA22-19A5A651516D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A0-47B1-BA22-19A5A651516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0-47B1-BA22-19A5A651516D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A0-47B1-BA22-19A5A651516D}"/>
              </c:ext>
            </c:extLst>
          </c:dPt>
          <c:cat>
            <c:strRef>
              <c:f>Sector_Analysis!$A$4:$A$9</c:f>
              <c:strCache>
                <c:ptCount val="6"/>
                <c:pt idx="0">
                  <c:v>Banking</c:v>
                </c:pt>
                <c:pt idx="1">
                  <c:v>Telco</c:v>
                </c:pt>
                <c:pt idx="2">
                  <c:v>Insurance</c:v>
                </c:pt>
                <c:pt idx="3">
                  <c:v>Manufacturing</c:v>
                </c:pt>
                <c:pt idx="4">
                  <c:v>Energy</c:v>
                </c:pt>
                <c:pt idx="5">
                  <c:v>Investment</c:v>
                </c:pt>
              </c:strCache>
            </c:strRef>
          </c:cat>
          <c:val>
            <c:numRef>
              <c:f>Sector_Analysis!$E$4:$E$9</c:f>
              <c:numCache>
                <c:formatCode>0.00%</c:formatCode>
                <c:ptCount val="6"/>
                <c:pt idx="0">
                  <c:v>7.9071428571428557</c:v>
                </c:pt>
                <c:pt idx="1">
                  <c:v>4.1399999999999997</c:v>
                </c:pt>
                <c:pt idx="2">
                  <c:v>4.7475000000000005</c:v>
                </c:pt>
                <c:pt idx="3">
                  <c:v>7.3639999999999999</c:v>
                </c:pt>
                <c:pt idx="4">
                  <c:v>6.835</c:v>
                </c:pt>
                <c:pt idx="5">
                  <c:v>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7B1-BA22-19A5A651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321776"/>
        <c:axId val="2029324688"/>
      </c:barChart>
      <c:catAx>
        <c:axId val="202932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24688"/>
        <c:crosses val="autoZero"/>
        <c:auto val="1"/>
        <c:lblAlgn val="ctr"/>
        <c:lblOffset val="100"/>
        <c:noMultiLvlLbl val="0"/>
      </c:catAx>
      <c:valAx>
        <c:axId val="202932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2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9 NSE Stocks — Composite Score Ranking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88735783027122"/>
          <c:y val="0.19486111111111112"/>
          <c:w val="0.7094459755030621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Composite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14-4A48-984A-D4DE0D24AE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614-4A48-984A-D4DE0D24AE7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14-4A48-984A-D4DE0D24AE7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614-4A48-984A-D4DE0D24AE7B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14-4A48-984A-D4DE0D24AE7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614-4A48-984A-D4DE0D24AE7B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14-4A48-984A-D4DE0D24AE7B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14-4A48-984A-D4DE0D24AE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Dashboard!$A$11:$A$19</c:f>
              <c:strCache>
                <c:ptCount val="9"/>
                <c:pt idx="0">
                  <c:v>NCBA Group</c:v>
                </c:pt>
                <c:pt idx="1">
                  <c:v>Kenya Reinsurance</c:v>
                </c:pt>
                <c:pt idx="2">
                  <c:v>Umeme Ltd</c:v>
                </c:pt>
                <c:pt idx="3">
                  <c:v>Diamond Trust Bank</c:v>
                </c:pt>
                <c:pt idx="4">
                  <c:v>Standard Chartered</c:v>
                </c:pt>
                <c:pt idx="5">
                  <c:v>Co-operative Bank</c:v>
                </c:pt>
                <c:pt idx="6">
                  <c:v>Stanbic Holdings</c:v>
                </c:pt>
                <c:pt idx="7">
                  <c:v>Crown Paints</c:v>
                </c:pt>
                <c:pt idx="8">
                  <c:v>KenolKobil</c:v>
                </c:pt>
              </c:strCache>
            </c:strRef>
          </c:cat>
          <c:val>
            <c:numRef>
              <c:f>Dashboard!$B$11:$B$19</c:f>
              <c:numCache>
                <c:formatCode>General</c:formatCode>
                <c:ptCount val="9"/>
                <c:pt idx="0">
                  <c:v>79.75</c:v>
                </c:pt>
                <c:pt idx="1">
                  <c:v>74.835000000000008</c:v>
                </c:pt>
                <c:pt idx="2">
                  <c:v>73.745000000000005</c:v>
                </c:pt>
                <c:pt idx="3">
                  <c:v>66.62</c:v>
                </c:pt>
                <c:pt idx="4">
                  <c:v>65.825000000000003</c:v>
                </c:pt>
                <c:pt idx="5">
                  <c:v>65.58</c:v>
                </c:pt>
                <c:pt idx="6">
                  <c:v>62.295000000000002</c:v>
                </c:pt>
                <c:pt idx="7">
                  <c:v>61.305000000000014</c:v>
                </c:pt>
                <c:pt idx="8">
                  <c:v>57.954999999999998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4-4A48-984A-D4DE0D24AE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2928304"/>
        <c:axId val="542926640"/>
      </c:barChart>
      <c:catAx>
        <c:axId val="54292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26640"/>
        <c:crosses val="autoZero"/>
        <c:auto val="1"/>
        <c:lblAlgn val="ctr"/>
        <c:lblOffset val="100"/>
        <c:noMultiLvlLbl val="0"/>
      </c:catAx>
      <c:valAx>
        <c:axId val="54292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2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NSE Universe — Sector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No. of Stocks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B5-440D-923B-BA925D369D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B1-4F3D-AA2C-B2C03940C3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B1-4F3D-AA2C-B2C03940C3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B1-4F3D-AA2C-B2C03940C3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B1-4F3D-AA2C-B2C03940C3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B1-4F3D-AA2C-B2C03940C3AB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15288713910761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4B5-440D-923B-BA925D369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Dashboard!$A$25:$A$30</c:f>
              <c:strCache>
                <c:ptCount val="6"/>
                <c:pt idx="0">
                  <c:v>Banking</c:v>
                </c:pt>
                <c:pt idx="1">
                  <c:v>Telco</c:v>
                </c:pt>
                <c:pt idx="2">
                  <c:v>Insurance</c:v>
                </c:pt>
                <c:pt idx="3">
                  <c:v>Manufacturing</c:v>
                </c:pt>
                <c:pt idx="4">
                  <c:v>Energy</c:v>
                </c:pt>
                <c:pt idx="5">
                  <c:v>Investment</c:v>
                </c:pt>
              </c:strCache>
            </c:strRef>
          </c:cat>
          <c:val>
            <c:numRef>
              <c:f>Dashboard!$B$25:$B$30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5-440D-923B-BA925D369D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Portfolio Return vs Kenya T-Bill Benchmark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Return(%)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A0-4344-8B05-6BF546F13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Dashboard!$A$42:$A$43</c:f>
              <c:strCache>
                <c:ptCount val="2"/>
                <c:pt idx="0">
                  <c:v>My Porfolio</c:v>
                </c:pt>
                <c:pt idx="1">
                  <c:v>Kenya T-Bill</c:v>
                </c:pt>
              </c:strCache>
            </c:strRef>
          </c:cat>
          <c:val>
            <c:numRef>
              <c:f>Dashboard!$B$42:$B$43</c:f>
              <c:numCache>
                <c:formatCode>General</c:formatCode>
                <c:ptCount val="2"/>
                <c:pt idx="0" formatCode="0%">
                  <c:v>5.4026123595505613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0-4344-8B05-6BF546F13A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7966848"/>
        <c:axId val="537965184"/>
      </c:barChart>
      <c:catAx>
        <c:axId val="5379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5184"/>
        <c:crosses val="autoZero"/>
        <c:auto val="1"/>
        <c:lblAlgn val="ctr"/>
        <c:lblOffset val="100"/>
        <c:noMultiLvlLbl val="0"/>
      </c:catAx>
      <c:valAx>
        <c:axId val="5379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000" b="0" i="0" u="none" strike="noStrike" baseline="0"/>
                  <a:t>Annual Return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19</xdr:row>
      <xdr:rowOff>177800</xdr:rowOff>
    </xdr:from>
    <xdr:to>
      <xdr:col>7</xdr:col>
      <xdr:colOff>873125</xdr:colOff>
      <xdr:row>31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7E4FA-2584-4549-9A17-56BB867B0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10</xdr:row>
      <xdr:rowOff>12700</xdr:rowOff>
    </xdr:from>
    <xdr:to>
      <xdr:col>5</xdr:col>
      <xdr:colOff>358775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5147D-4A96-4E4B-B6FF-0FE9BDDDB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1162050</xdr:colOff>
      <xdr:row>10</xdr:row>
      <xdr:rowOff>6350</xdr:rowOff>
    </xdr:from>
    <xdr:to>
      <xdr:col>13</xdr:col>
      <xdr:colOff>279399</xdr:colOff>
      <xdr:row>24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C9E4D5-BEBC-4C14-996A-49401A2F5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715065</xdr:colOff>
      <xdr:row>7</xdr:row>
      <xdr:rowOff>3311</xdr:rowOff>
    </xdr:from>
    <xdr:to>
      <xdr:col>10</xdr:col>
      <xdr:colOff>13803</xdr:colOff>
      <xdr:row>20</xdr:row>
      <xdr:rowOff>104913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DFE0E-2AB9-4434-A931-F8A6D9277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13805</xdr:colOff>
      <xdr:row>23</xdr:row>
      <xdr:rowOff>25399</xdr:rowOff>
    </xdr:from>
    <xdr:to>
      <xdr:col>9</xdr:col>
      <xdr:colOff>527327</xdr:colOff>
      <xdr:row>36</xdr:row>
      <xdr:rowOff>115957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9F3892-CC0D-40DC-8E2D-1A24029BC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179456</xdr:colOff>
      <xdr:row>39</xdr:row>
      <xdr:rowOff>168965</xdr:rowOff>
    </xdr:from>
    <xdr:to>
      <xdr:col>10</xdr:col>
      <xdr:colOff>85587</xdr:colOff>
      <xdr:row>53</xdr:row>
      <xdr:rowOff>33130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6A3B47-95BD-41C1-ADCF-5967A370A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F017-B2EA-4683-8163-F7165FC4C85B}">
  <sheetPr>
    <tabColor rgb="FFFFC000"/>
  </sheetPr>
  <dimension ref="A1:Q29"/>
  <sheetViews>
    <sheetView topLeftCell="C1" zoomScale="85" zoomScaleNormal="85" workbookViewId="0">
      <selection activeCell="D4" sqref="D4"/>
    </sheetView>
  </sheetViews>
  <sheetFormatPr defaultRowHeight="14.5" x14ac:dyDescent="0.35"/>
  <cols>
    <col min="1" max="1" width="1.81640625" bestFit="1" customWidth="1"/>
    <col min="2" max="2" width="19" customWidth="1"/>
    <col min="4" max="4" width="13.08984375" customWidth="1"/>
    <col min="5" max="5" width="17.54296875" style="1" customWidth="1"/>
    <col min="6" max="6" width="17.7265625" style="1" customWidth="1"/>
    <col min="7" max="7" width="17.6328125" style="1" customWidth="1"/>
    <col min="8" max="8" width="11.08984375" style="1" customWidth="1"/>
    <col min="9" max="9" width="11.54296875" style="1" customWidth="1"/>
    <col min="10" max="10" width="23.1796875" style="1" customWidth="1"/>
    <col min="11" max="11" width="10.90625" style="1" customWidth="1"/>
    <col min="12" max="12" width="24.26953125" style="1" customWidth="1"/>
    <col min="13" max="13" width="19.54296875" style="1" customWidth="1"/>
    <col min="14" max="14" width="20.36328125" style="1" customWidth="1"/>
    <col min="15" max="15" width="24.90625" style="1" customWidth="1"/>
    <col min="16" max="16" width="16.81640625" customWidth="1"/>
  </cols>
  <sheetData>
    <row r="1" spans="1:17" ht="18.5" x14ac:dyDescent="0.45">
      <c r="A1" s="96" t="s">
        <v>73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7" ht="29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8</v>
      </c>
      <c r="H2" s="3" t="s">
        <v>6</v>
      </c>
      <c r="I2" s="3" t="s">
        <v>7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" t="s">
        <v>15</v>
      </c>
      <c r="Q2" s="8" t="s">
        <v>82</v>
      </c>
    </row>
    <row r="3" spans="1:17" x14ac:dyDescent="0.35">
      <c r="A3" s="4"/>
      <c r="B3" s="4" t="s">
        <v>16</v>
      </c>
      <c r="C3" s="4" t="s">
        <v>17</v>
      </c>
      <c r="D3" s="4" t="s">
        <v>18</v>
      </c>
      <c r="E3" s="5">
        <v>42.5</v>
      </c>
      <c r="F3" s="5">
        <v>55</v>
      </c>
      <c r="G3" s="5">
        <v>38</v>
      </c>
      <c r="H3" s="5">
        <v>6.2</v>
      </c>
      <c r="I3" s="5">
        <v>6.85</v>
      </c>
      <c r="J3" s="5">
        <v>48.3</v>
      </c>
      <c r="K3" s="5">
        <v>0.88</v>
      </c>
      <c r="L3" s="5">
        <v>4</v>
      </c>
      <c r="M3" s="5">
        <v>9.41</v>
      </c>
      <c r="N3" s="5">
        <v>8.5</v>
      </c>
      <c r="O3" s="5">
        <v>160650</v>
      </c>
      <c r="P3" s="4" t="s">
        <v>19</v>
      </c>
      <c r="Q3">
        <f>(E3-G3)/(F3-G3)</f>
        <v>0.26470588235294118</v>
      </c>
    </row>
    <row r="4" spans="1:17" x14ac:dyDescent="0.35">
      <c r="A4" s="4"/>
      <c r="B4" s="4" t="s">
        <v>20</v>
      </c>
      <c r="C4" s="4" t="s">
        <v>26</v>
      </c>
      <c r="D4" s="4" t="s">
        <v>18</v>
      </c>
      <c r="E4" s="5">
        <v>28.9</v>
      </c>
      <c r="F4" s="5">
        <v>40</v>
      </c>
      <c r="G4" s="5">
        <v>24</v>
      </c>
      <c r="H4" s="5">
        <v>7.1</v>
      </c>
      <c r="I4" s="5">
        <v>4.07</v>
      </c>
      <c r="J4" s="5">
        <v>52.1</v>
      </c>
      <c r="K4" s="5">
        <v>0.55000000000000004</v>
      </c>
      <c r="L4" s="5">
        <v>2</v>
      </c>
      <c r="M4" s="5">
        <v>6.92</v>
      </c>
      <c r="N4" s="5">
        <v>-5.2</v>
      </c>
      <c r="O4" s="5">
        <v>92908</v>
      </c>
      <c r="P4" s="4" t="s">
        <v>19</v>
      </c>
      <c r="Q4">
        <f t="shared" ref="Q4:Q27" si="0">(E4-G4)/(F4-G4)</f>
        <v>0.30624999999999991</v>
      </c>
    </row>
    <row r="5" spans="1:17" x14ac:dyDescent="0.35">
      <c r="A5" s="4"/>
      <c r="B5" s="4" t="s">
        <v>21</v>
      </c>
      <c r="C5" s="4" t="s">
        <v>28</v>
      </c>
      <c r="D5" s="4" t="s">
        <v>18</v>
      </c>
      <c r="E5" s="5">
        <v>13.5</v>
      </c>
      <c r="F5" s="5">
        <v>16.5</v>
      </c>
      <c r="G5" s="5">
        <v>11</v>
      </c>
      <c r="H5" s="5">
        <v>2.8</v>
      </c>
      <c r="I5" s="5">
        <v>4.82</v>
      </c>
      <c r="J5" s="5">
        <v>18.600000000000001</v>
      </c>
      <c r="K5" s="5">
        <v>0.73</v>
      </c>
      <c r="L5" s="5">
        <v>1</v>
      </c>
      <c r="M5" s="5">
        <v>7.41</v>
      </c>
      <c r="N5" s="5">
        <v>3.1</v>
      </c>
      <c r="O5" s="5">
        <v>79110</v>
      </c>
      <c r="P5" s="4" t="s">
        <v>19</v>
      </c>
      <c r="Q5">
        <f t="shared" si="0"/>
        <v>0.45454545454545453</v>
      </c>
    </row>
    <row r="6" spans="1:17" x14ac:dyDescent="0.35">
      <c r="A6" s="4"/>
      <c r="B6" s="4" t="s">
        <v>22</v>
      </c>
      <c r="C6" s="4" t="s">
        <v>27</v>
      </c>
      <c r="D6" s="4" t="s">
        <v>18</v>
      </c>
      <c r="E6" s="5">
        <v>37</v>
      </c>
      <c r="F6" s="5">
        <v>42</v>
      </c>
      <c r="G6" s="5">
        <v>30</v>
      </c>
      <c r="H6" s="5">
        <v>8.3000000000000007</v>
      </c>
      <c r="I6" s="5">
        <v>4.46</v>
      </c>
      <c r="J6" s="5">
        <v>44.2</v>
      </c>
      <c r="K6" s="5">
        <v>0.84</v>
      </c>
      <c r="L6" s="5">
        <v>3.25</v>
      </c>
      <c r="M6" s="5">
        <v>8.7799999999999994</v>
      </c>
      <c r="N6" s="5">
        <v>11.2</v>
      </c>
      <c r="O6" s="5">
        <v>60270</v>
      </c>
      <c r="P6" s="4" t="s">
        <v>19</v>
      </c>
      <c r="Q6">
        <f t="shared" si="0"/>
        <v>0.58333333333333337</v>
      </c>
    </row>
    <row r="7" spans="1:17" x14ac:dyDescent="0.35">
      <c r="A7" s="4"/>
      <c r="B7" s="4" t="s">
        <v>23</v>
      </c>
      <c r="C7" s="4" t="s">
        <v>29</v>
      </c>
      <c r="D7" s="4" t="s">
        <v>18</v>
      </c>
      <c r="E7" s="5">
        <v>52</v>
      </c>
      <c r="F7" s="5">
        <v>65</v>
      </c>
      <c r="G7" s="5">
        <v>45</v>
      </c>
      <c r="H7" s="5">
        <v>18.5</v>
      </c>
      <c r="I7" s="5">
        <v>2.81</v>
      </c>
      <c r="J7" s="5">
        <v>110.4</v>
      </c>
      <c r="K7" s="5">
        <v>0.47</v>
      </c>
      <c r="L7" s="5">
        <v>3</v>
      </c>
      <c r="M7" s="5">
        <v>5.77</v>
      </c>
      <c r="N7" s="5">
        <v>2.8</v>
      </c>
      <c r="O7" s="5">
        <v>15600</v>
      </c>
      <c r="P7" s="4" t="s">
        <v>19</v>
      </c>
      <c r="Q7">
        <f t="shared" si="0"/>
        <v>0.35</v>
      </c>
    </row>
    <row r="8" spans="1:17" x14ac:dyDescent="0.35">
      <c r="A8" s="4"/>
      <c r="B8" s="4" t="s">
        <v>24</v>
      </c>
      <c r="C8" s="4" t="s">
        <v>30</v>
      </c>
      <c r="D8" s="4" t="s">
        <v>18</v>
      </c>
      <c r="E8" s="5">
        <v>96</v>
      </c>
      <c r="F8" s="5">
        <v>115</v>
      </c>
      <c r="G8" s="5">
        <v>82</v>
      </c>
      <c r="H8" s="5">
        <v>16.2</v>
      </c>
      <c r="I8" s="5">
        <v>5.93</v>
      </c>
      <c r="J8" s="5">
        <v>75.3</v>
      </c>
      <c r="K8" s="5">
        <v>1.27</v>
      </c>
      <c r="L8" s="5">
        <v>6.5</v>
      </c>
      <c r="M8" s="5">
        <v>6.77</v>
      </c>
      <c r="N8" s="5">
        <v>14.3</v>
      </c>
      <c r="O8" s="5">
        <v>38400</v>
      </c>
      <c r="P8" s="4" t="s">
        <v>19</v>
      </c>
      <c r="Q8">
        <f t="shared" si="0"/>
        <v>0.42424242424242425</v>
      </c>
    </row>
    <row r="9" spans="1:17" x14ac:dyDescent="0.35">
      <c r="A9" s="4"/>
      <c r="B9" s="4" t="s">
        <v>25</v>
      </c>
      <c r="C9" s="4" t="s">
        <v>31</v>
      </c>
      <c r="D9" s="4" t="s">
        <v>18</v>
      </c>
      <c r="E9" s="5">
        <v>175</v>
      </c>
      <c r="F9" s="5">
        <v>210</v>
      </c>
      <c r="G9" s="5">
        <v>150</v>
      </c>
      <c r="H9" s="5">
        <v>28.4</v>
      </c>
      <c r="I9" s="5">
        <v>6.16</v>
      </c>
      <c r="J9" s="5">
        <v>148</v>
      </c>
      <c r="K9" s="5">
        <v>1.18</v>
      </c>
      <c r="L9" s="5">
        <v>18</v>
      </c>
      <c r="M9" s="5">
        <v>10.29</v>
      </c>
      <c r="N9" s="5">
        <v>6.7</v>
      </c>
      <c r="O9" s="5">
        <v>66500</v>
      </c>
      <c r="P9" s="4" t="s">
        <v>19</v>
      </c>
      <c r="Q9">
        <f t="shared" si="0"/>
        <v>0.41666666666666669</v>
      </c>
    </row>
    <row r="10" spans="1:17" x14ac:dyDescent="0.35">
      <c r="A10" s="4"/>
      <c r="B10" s="4" t="s">
        <v>32</v>
      </c>
      <c r="C10" s="4" t="s">
        <v>33</v>
      </c>
      <c r="D10" s="4" t="s">
        <v>34</v>
      </c>
      <c r="E10" s="5">
        <v>16.2</v>
      </c>
      <c r="F10" s="5">
        <v>22</v>
      </c>
      <c r="G10" s="5">
        <v>13.5</v>
      </c>
      <c r="H10" s="5">
        <v>1.32</v>
      </c>
      <c r="I10" s="5">
        <v>12.27</v>
      </c>
      <c r="J10" s="5">
        <v>5.4</v>
      </c>
      <c r="K10" s="5">
        <v>3</v>
      </c>
      <c r="L10" s="5">
        <v>0.67</v>
      </c>
      <c r="M10" s="5">
        <v>4.1399999999999997</v>
      </c>
      <c r="N10" s="5">
        <v>-18.5</v>
      </c>
      <c r="O10" s="5">
        <v>648000</v>
      </c>
      <c r="P10" s="4" t="s">
        <v>19</v>
      </c>
      <c r="Q10">
        <f t="shared" si="0"/>
        <v>0.31764705882352934</v>
      </c>
    </row>
    <row r="11" spans="1:17" x14ac:dyDescent="0.35">
      <c r="A11" s="4"/>
      <c r="B11" s="4" t="s">
        <v>35</v>
      </c>
      <c r="C11" s="4" t="s">
        <v>42</v>
      </c>
      <c r="D11" s="4" t="s">
        <v>43</v>
      </c>
      <c r="E11" s="5">
        <v>195</v>
      </c>
      <c r="F11" s="5">
        <v>230</v>
      </c>
      <c r="G11" s="5">
        <v>170</v>
      </c>
      <c r="H11" s="5">
        <v>31.5</v>
      </c>
      <c r="I11" s="5">
        <v>6.19</v>
      </c>
      <c r="J11" s="5">
        <v>220</v>
      </c>
      <c r="K11" s="5">
        <v>0.89</v>
      </c>
      <c r="L11" s="5">
        <v>9</v>
      </c>
      <c r="M11" s="5">
        <v>4.62</v>
      </c>
      <c r="N11" s="5">
        <v>5.3</v>
      </c>
      <c r="O11" s="5">
        <v>17550</v>
      </c>
      <c r="P11" s="4" t="s">
        <v>19</v>
      </c>
      <c r="Q11">
        <f t="shared" si="0"/>
        <v>0.41666666666666669</v>
      </c>
    </row>
    <row r="12" spans="1:17" x14ac:dyDescent="0.35">
      <c r="A12" s="4"/>
      <c r="B12" s="4" t="s">
        <v>36</v>
      </c>
      <c r="C12" s="4" t="s">
        <v>41</v>
      </c>
      <c r="D12" s="4" t="s">
        <v>43</v>
      </c>
      <c r="E12" s="5">
        <v>5.8</v>
      </c>
      <c r="F12" s="5">
        <v>8</v>
      </c>
      <c r="G12" s="5">
        <v>4.9000000000000004</v>
      </c>
      <c r="H12" s="5">
        <v>0.62</v>
      </c>
      <c r="I12" s="5">
        <v>9.35</v>
      </c>
      <c r="J12" s="5">
        <v>9.8000000000000007</v>
      </c>
      <c r="K12" s="5">
        <v>0.59</v>
      </c>
      <c r="L12" s="5">
        <v>0.2</v>
      </c>
      <c r="M12" s="5">
        <v>3.45</v>
      </c>
      <c r="N12" s="5">
        <v>-12.4</v>
      </c>
      <c r="O12" s="5">
        <v>15109</v>
      </c>
      <c r="P12" s="4" t="s">
        <v>19</v>
      </c>
      <c r="Q12">
        <f t="shared" si="0"/>
        <v>0.29032258064516114</v>
      </c>
    </row>
    <row r="13" spans="1:17" x14ac:dyDescent="0.35">
      <c r="A13" s="4"/>
      <c r="B13" s="4" t="s">
        <v>37</v>
      </c>
      <c r="C13" s="4" t="s">
        <v>40</v>
      </c>
      <c r="D13" s="4" t="s">
        <v>43</v>
      </c>
      <c r="E13" s="5">
        <v>2.25</v>
      </c>
      <c r="F13" s="5">
        <v>3.1</v>
      </c>
      <c r="G13" s="5">
        <v>1.9</v>
      </c>
      <c r="H13" s="5">
        <v>0.18</v>
      </c>
      <c r="I13" s="5">
        <v>12.5</v>
      </c>
      <c r="J13" s="5">
        <v>3.2</v>
      </c>
      <c r="K13" s="5">
        <v>0.7</v>
      </c>
      <c r="L13" s="5">
        <v>0.05</v>
      </c>
      <c r="M13" s="5">
        <v>2.2200000000000002</v>
      </c>
      <c r="N13" s="5">
        <v>1.8</v>
      </c>
      <c r="O13" s="5">
        <v>7425</v>
      </c>
      <c r="P13" s="4" t="s">
        <v>19</v>
      </c>
      <c r="Q13">
        <f t="shared" si="0"/>
        <v>0.29166666666666669</v>
      </c>
    </row>
    <row r="14" spans="1:17" x14ac:dyDescent="0.35">
      <c r="A14" s="4"/>
      <c r="B14" s="4" t="s">
        <v>38</v>
      </c>
      <c r="C14" s="4" t="s">
        <v>39</v>
      </c>
      <c r="D14" s="4" t="s">
        <v>43</v>
      </c>
      <c r="E14" s="5">
        <v>2.2999999999999998</v>
      </c>
      <c r="F14" s="5">
        <v>3</v>
      </c>
      <c r="G14" s="5">
        <v>1.9</v>
      </c>
      <c r="H14" s="5">
        <v>0.55000000000000004</v>
      </c>
      <c r="I14" s="5">
        <v>4.18</v>
      </c>
      <c r="J14" s="5">
        <v>5.4</v>
      </c>
      <c r="K14" s="5">
        <v>0.43</v>
      </c>
      <c r="L14" s="5">
        <v>0.2</v>
      </c>
      <c r="M14" s="5">
        <v>8.6999999999999993</v>
      </c>
      <c r="N14" s="5">
        <v>4.5</v>
      </c>
      <c r="O14" s="5">
        <v>6831</v>
      </c>
      <c r="P14" s="4" t="s">
        <v>19</v>
      </c>
      <c r="Q14">
        <f t="shared" si="0"/>
        <v>0.36363636363636354</v>
      </c>
    </row>
    <row r="15" spans="1:17" x14ac:dyDescent="0.35">
      <c r="A15" s="4"/>
      <c r="B15" s="4" t="s">
        <v>44</v>
      </c>
      <c r="C15" s="4" t="s">
        <v>44</v>
      </c>
      <c r="D15" s="4" t="s">
        <v>51</v>
      </c>
      <c r="E15" s="5">
        <v>130</v>
      </c>
      <c r="F15" s="5">
        <v>175</v>
      </c>
      <c r="G15" s="5">
        <v>115</v>
      </c>
      <c r="H15" s="5">
        <v>7.8</v>
      </c>
      <c r="I15" s="5">
        <v>16.670000000000002</v>
      </c>
      <c r="J15" s="5">
        <v>24.3</v>
      </c>
      <c r="K15" s="5">
        <v>5.35</v>
      </c>
      <c r="L15" s="5">
        <v>6.5</v>
      </c>
      <c r="M15" s="5">
        <v>5</v>
      </c>
      <c r="N15" s="5">
        <v>-22.3</v>
      </c>
      <c r="O15" s="5">
        <v>103220</v>
      </c>
      <c r="P15" s="4" t="s">
        <v>19</v>
      </c>
      <c r="Q15">
        <f t="shared" si="0"/>
        <v>0.25</v>
      </c>
    </row>
    <row r="16" spans="1:17" x14ac:dyDescent="0.35">
      <c r="A16" s="4"/>
      <c r="B16" s="4" t="s">
        <v>45</v>
      </c>
      <c r="C16" s="4" t="s">
        <v>48</v>
      </c>
      <c r="D16" s="4" t="s">
        <v>51</v>
      </c>
      <c r="E16" s="5">
        <v>390</v>
      </c>
      <c r="F16" s="5">
        <v>450</v>
      </c>
      <c r="G16" s="5">
        <v>340</v>
      </c>
      <c r="H16" s="5">
        <v>52.4</v>
      </c>
      <c r="I16" s="5">
        <v>7.44</v>
      </c>
      <c r="J16" s="5">
        <v>78</v>
      </c>
      <c r="K16" s="5">
        <v>5</v>
      </c>
      <c r="L16" s="5">
        <v>52</v>
      </c>
      <c r="M16" s="5">
        <v>13.33</v>
      </c>
      <c r="N16" s="5">
        <v>-3.1</v>
      </c>
      <c r="O16" s="5">
        <v>25350</v>
      </c>
      <c r="P16" s="4" t="s">
        <v>19</v>
      </c>
      <c r="Q16">
        <f t="shared" si="0"/>
        <v>0.45454545454545453</v>
      </c>
    </row>
    <row r="17" spans="1:17" x14ac:dyDescent="0.35">
      <c r="A17" s="4"/>
      <c r="B17" s="4" t="s">
        <v>46</v>
      </c>
      <c r="C17" s="4" t="s">
        <v>49</v>
      </c>
      <c r="D17" s="4" t="s">
        <v>51</v>
      </c>
      <c r="E17" s="5">
        <v>28</v>
      </c>
      <c r="F17" s="5">
        <v>38</v>
      </c>
      <c r="G17" s="5">
        <v>24</v>
      </c>
      <c r="H17" s="5">
        <v>3.9</v>
      </c>
      <c r="I17" s="5">
        <v>7.18</v>
      </c>
      <c r="J17" s="5">
        <v>36.5</v>
      </c>
      <c r="K17" s="5">
        <v>0.77</v>
      </c>
      <c r="L17" s="5">
        <v>1</v>
      </c>
      <c r="M17" s="5">
        <v>3.57</v>
      </c>
      <c r="N17" s="5">
        <v>6.2</v>
      </c>
      <c r="O17" s="5">
        <v>3360</v>
      </c>
      <c r="P17" s="4" t="s">
        <v>19</v>
      </c>
      <c r="Q17">
        <f t="shared" si="0"/>
        <v>0.2857142857142857</v>
      </c>
    </row>
    <row r="18" spans="1:17" x14ac:dyDescent="0.35">
      <c r="A18" s="4"/>
      <c r="B18" s="4" t="s">
        <v>47</v>
      </c>
      <c r="C18" s="4" t="s">
        <v>50</v>
      </c>
      <c r="D18" s="4" t="s">
        <v>51</v>
      </c>
      <c r="E18" s="5">
        <v>35</v>
      </c>
      <c r="F18" s="5">
        <v>44</v>
      </c>
      <c r="G18" s="5">
        <v>28</v>
      </c>
      <c r="H18" s="5">
        <v>5.2</v>
      </c>
      <c r="I18" s="5">
        <v>6.73</v>
      </c>
      <c r="J18" s="5">
        <v>42</v>
      </c>
      <c r="K18" s="5">
        <v>0.83</v>
      </c>
      <c r="L18" s="5">
        <v>2.5</v>
      </c>
      <c r="M18" s="5">
        <v>7.14</v>
      </c>
      <c r="N18" s="5">
        <v>9.8000000000000007</v>
      </c>
      <c r="O18" s="5">
        <v>2625</v>
      </c>
      <c r="P18" s="4" t="s">
        <v>19</v>
      </c>
      <c r="Q18">
        <f t="shared" si="0"/>
        <v>0.4375</v>
      </c>
    </row>
    <row r="19" spans="1:17" x14ac:dyDescent="0.35">
      <c r="A19" s="4"/>
      <c r="B19" s="4" t="s">
        <v>52</v>
      </c>
      <c r="C19" s="4" t="s">
        <v>56</v>
      </c>
      <c r="D19" s="4" t="s">
        <v>60</v>
      </c>
      <c r="E19" s="5">
        <v>19.5</v>
      </c>
      <c r="F19" s="5">
        <v>24</v>
      </c>
      <c r="G19" s="5">
        <v>16</v>
      </c>
      <c r="H19" s="5">
        <v>2.8</v>
      </c>
      <c r="I19" s="5">
        <v>6.96</v>
      </c>
      <c r="J19" s="5">
        <v>18.399999999999999</v>
      </c>
      <c r="K19" s="5">
        <v>1.06</v>
      </c>
      <c r="L19" s="5">
        <v>1.5</v>
      </c>
      <c r="M19" s="5">
        <v>7.69</v>
      </c>
      <c r="N19" s="5">
        <v>5.4</v>
      </c>
      <c r="O19" s="5">
        <v>3900</v>
      </c>
      <c r="P19" s="4" t="s">
        <v>19</v>
      </c>
      <c r="Q19">
        <f t="shared" si="0"/>
        <v>0.4375</v>
      </c>
    </row>
    <row r="20" spans="1:17" x14ac:dyDescent="0.35">
      <c r="A20" s="4"/>
      <c r="B20" s="4" t="s">
        <v>53</v>
      </c>
      <c r="C20" s="4" t="s">
        <v>57</v>
      </c>
      <c r="D20" s="4" t="s">
        <v>60</v>
      </c>
      <c r="E20" s="5">
        <v>15.2</v>
      </c>
      <c r="F20" s="5">
        <v>19</v>
      </c>
      <c r="G20" s="5">
        <v>12.5</v>
      </c>
      <c r="H20" s="5">
        <v>3.1</v>
      </c>
      <c r="I20" s="5">
        <v>4.9000000000000004</v>
      </c>
      <c r="J20" s="5">
        <v>14.6</v>
      </c>
      <c r="K20" s="5">
        <v>1.04</v>
      </c>
      <c r="L20" s="5">
        <v>1.2</v>
      </c>
      <c r="M20" s="5">
        <v>7.89</v>
      </c>
      <c r="N20" s="5">
        <v>12.3</v>
      </c>
      <c r="O20" s="5">
        <v>9120</v>
      </c>
      <c r="P20" s="4" t="s">
        <v>19</v>
      </c>
      <c r="Q20">
        <f t="shared" si="0"/>
        <v>0.4153846153846153</v>
      </c>
    </row>
    <row r="21" spans="1:17" x14ac:dyDescent="0.35">
      <c r="A21" s="4"/>
      <c r="B21" s="4" t="s">
        <v>54</v>
      </c>
      <c r="C21" s="4" t="s">
        <v>58</v>
      </c>
      <c r="D21" s="4" t="s">
        <v>60</v>
      </c>
      <c r="E21" s="5">
        <v>3.6</v>
      </c>
      <c r="F21" s="5">
        <v>5</v>
      </c>
      <c r="G21" s="5">
        <v>2.8</v>
      </c>
      <c r="H21" s="5">
        <v>-0.42</v>
      </c>
      <c r="I21" s="5">
        <v>0</v>
      </c>
      <c r="J21" s="5">
        <v>8.1999999999999993</v>
      </c>
      <c r="K21" s="5">
        <v>0.44</v>
      </c>
      <c r="L21" s="5">
        <v>0</v>
      </c>
      <c r="M21" s="5">
        <v>0</v>
      </c>
      <c r="N21" s="5">
        <v>-134</v>
      </c>
      <c r="O21" s="5">
        <v>6948</v>
      </c>
      <c r="P21" s="4" t="s">
        <v>19</v>
      </c>
      <c r="Q21">
        <f t="shared" si="0"/>
        <v>0.3636363636363637</v>
      </c>
    </row>
    <row r="22" spans="1:17" x14ac:dyDescent="0.35">
      <c r="A22" s="4"/>
      <c r="B22" s="4" t="s">
        <v>55</v>
      </c>
      <c r="C22" s="4" t="s">
        <v>59</v>
      </c>
      <c r="D22" s="4" t="s">
        <v>60</v>
      </c>
      <c r="E22" s="5">
        <v>6.8</v>
      </c>
      <c r="F22" s="5">
        <v>9</v>
      </c>
      <c r="G22" s="5">
        <v>5.5</v>
      </c>
      <c r="H22" s="5">
        <v>1.9</v>
      </c>
      <c r="I22" s="5">
        <v>3.58</v>
      </c>
      <c r="J22" s="5">
        <v>7.3</v>
      </c>
      <c r="K22" s="5">
        <v>0.93</v>
      </c>
      <c r="L22" s="5">
        <v>0.8</v>
      </c>
      <c r="M22" s="5">
        <v>11.76</v>
      </c>
      <c r="N22" s="5">
        <v>7.2</v>
      </c>
      <c r="O22" s="5">
        <v>3400</v>
      </c>
      <c r="P22" s="4" t="s">
        <v>19</v>
      </c>
      <c r="Q22">
        <f t="shared" si="0"/>
        <v>0.37142857142857139</v>
      </c>
    </row>
    <row r="23" spans="1:17" x14ac:dyDescent="0.35">
      <c r="A23" s="4"/>
      <c r="B23" s="4" t="s">
        <v>61</v>
      </c>
      <c r="C23" s="4" t="s">
        <v>70</v>
      </c>
      <c r="D23" s="4" t="s">
        <v>71</v>
      </c>
      <c r="E23" s="5">
        <v>9.4</v>
      </c>
      <c r="F23" s="5">
        <v>14</v>
      </c>
      <c r="G23" s="5">
        <v>7.8</v>
      </c>
      <c r="H23" s="5">
        <v>1.2</v>
      </c>
      <c r="I23" s="5">
        <v>7.83</v>
      </c>
      <c r="J23" s="5">
        <v>28.4</v>
      </c>
      <c r="K23" s="5">
        <v>0.33</v>
      </c>
      <c r="L23" s="5">
        <v>0.5</v>
      </c>
      <c r="M23" s="5">
        <v>5.32</v>
      </c>
      <c r="N23" s="5">
        <v>-8.6999999999999993</v>
      </c>
      <c r="O23" s="5">
        <v>5076</v>
      </c>
      <c r="P23" s="4" t="s">
        <v>19</v>
      </c>
      <c r="Q23">
        <f t="shared" si="0"/>
        <v>0.25806451612903236</v>
      </c>
    </row>
    <row r="24" spans="1:17" x14ac:dyDescent="0.35">
      <c r="A24" s="4"/>
      <c r="B24" s="4" t="s">
        <v>62</v>
      </c>
      <c r="C24" s="4" t="s">
        <v>69</v>
      </c>
      <c r="D24" s="4" t="s">
        <v>71</v>
      </c>
      <c r="E24" s="5">
        <v>24.5</v>
      </c>
      <c r="F24" s="5">
        <v>30</v>
      </c>
      <c r="G24" s="5">
        <v>20</v>
      </c>
      <c r="H24" s="5">
        <v>5.8</v>
      </c>
      <c r="I24" s="5">
        <v>4.22</v>
      </c>
      <c r="J24" s="5">
        <v>35.200000000000003</v>
      </c>
      <c r="K24" s="5">
        <v>0.7</v>
      </c>
      <c r="L24" s="5">
        <v>2</v>
      </c>
      <c r="M24" s="5">
        <v>8.16</v>
      </c>
      <c r="N24" s="5">
        <v>9.4</v>
      </c>
      <c r="O24" s="5">
        <v>14406</v>
      </c>
      <c r="P24" s="4" t="s">
        <v>19</v>
      </c>
      <c r="Q24">
        <f t="shared" si="0"/>
        <v>0.45</v>
      </c>
    </row>
    <row r="25" spans="1:17" x14ac:dyDescent="0.35">
      <c r="A25" s="4"/>
      <c r="B25" s="4" t="s">
        <v>63</v>
      </c>
      <c r="C25" s="4" t="s">
        <v>68</v>
      </c>
      <c r="D25" s="4" t="s">
        <v>71</v>
      </c>
      <c r="E25" s="5">
        <v>3.2</v>
      </c>
      <c r="F25" s="5">
        <v>4.5</v>
      </c>
      <c r="G25" s="5">
        <v>2.6</v>
      </c>
      <c r="H25" s="5">
        <v>0.35</v>
      </c>
      <c r="I25" s="5">
        <v>9.14</v>
      </c>
      <c r="J25" s="5">
        <v>6.8</v>
      </c>
      <c r="K25" s="5">
        <v>0.47</v>
      </c>
      <c r="L25" s="5">
        <v>0.1</v>
      </c>
      <c r="M25" s="5">
        <v>3.13</v>
      </c>
      <c r="N25" s="5">
        <v>2.1</v>
      </c>
      <c r="O25" s="5">
        <v>480</v>
      </c>
      <c r="P25" s="4" t="s">
        <v>19</v>
      </c>
      <c r="Q25">
        <f t="shared" si="0"/>
        <v>0.31578947368421056</v>
      </c>
    </row>
    <row r="26" spans="1:17" x14ac:dyDescent="0.35">
      <c r="A26" s="4"/>
      <c r="B26" s="4" t="s">
        <v>64</v>
      </c>
      <c r="C26" s="4" t="s">
        <v>67</v>
      </c>
      <c r="D26" s="4" t="s">
        <v>71</v>
      </c>
      <c r="E26" s="5">
        <v>18.5</v>
      </c>
      <c r="F26" s="5">
        <v>26</v>
      </c>
      <c r="G26" s="5">
        <v>15</v>
      </c>
      <c r="H26" s="5">
        <v>2.6</v>
      </c>
      <c r="I26" s="5">
        <v>7.12</v>
      </c>
      <c r="J26" s="5">
        <v>22</v>
      </c>
      <c r="K26" s="5">
        <v>0.84</v>
      </c>
      <c r="L26" s="5">
        <v>1.5</v>
      </c>
      <c r="M26" s="5">
        <v>8.11</v>
      </c>
      <c r="N26" s="5">
        <v>-14.2</v>
      </c>
      <c r="O26" s="5">
        <v>2923</v>
      </c>
      <c r="P26" s="4" t="s">
        <v>19</v>
      </c>
      <c r="Q26">
        <f t="shared" si="0"/>
        <v>0.31818181818181818</v>
      </c>
    </row>
    <row r="27" spans="1:17" x14ac:dyDescent="0.35">
      <c r="A27" s="4"/>
      <c r="B27" s="4" t="s">
        <v>65</v>
      </c>
      <c r="C27" s="4" t="s">
        <v>66</v>
      </c>
      <c r="D27" s="4" t="s">
        <v>51</v>
      </c>
      <c r="E27" s="5">
        <v>45</v>
      </c>
      <c r="F27" s="5">
        <v>65</v>
      </c>
      <c r="G27" s="5">
        <v>38</v>
      </c>
      <c r="H27" s="5">
        <v>6.1</v>
      </c>
      <c r="I27" s="5">
        <v>7.38</v>
      </c>
      <c r="J27" s="5">
        <v>38</v>
      </c>
      <c r="K27" s="5">
        <v>1.18</v>
      </c>
      <c r="L27" s="5">
        <v>3.5</v>
      </c>
      <c r="M27" s="5">
        <v>7.78</v>
      </c>
      <c r="N27" s="5">
        <v>-9.3000000000000007</v>
      </c>
      <c r="O27" s="5">
        <v>16290</v>
      </c>
      <c r="P27" s="4" t="s">
        <v>19</v>
      </c>
      <c r="Q27">
        <f t="shared" si="0"/>
        <v>0.25925925925925924</v>
      </c>
    </row>
    <row r="28" spans="1:17" x14ac:dyDescent="0.35"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</row>
    <row r="29" spans="1:17" x14ac:dyDescent="0.35"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"/>
    </row>
  </sheetData>
  <mergeCells count="1">
    <mergeCell ref="A1:P1"/>
  </mergeCells>
  <conditionalFormatting sqref="B3:P27">
    <cfRule type="expression" dxfId="4" priority="1">
      <formula>MOD(ROW(),2)=0</formula>
    </cfRule>
    <cfRule type="expression" dxfId="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56FA-6CCF-441B-BBE9-6C59D417BA67}">
  <sheetPr>
    <tabColor theme="9" tint="-0.249977111117893"/>
  </sheetPr>
  <dimension ref="A1:L33"/>
  <sheetViews>
    <sheetView topLeftCell="A3" workbookViewId="0">
      <selection activeCell="N8" sqref="N8"/>
    </sheetView>
  </sheetViews>
  <sheetFormatPr defaultRowHeight="14.5" x14ac:dyDescent="0.35"/>
  <cols>
    <col min="1" max="1" width="3.1796875" customWidth="1"/>
    <col min="2" max="2" width="19.08984375" customWidth="1"/>
    <col min="3" max="3" width="18.26953125" customWidth="1"/>
    <col min="4" max="4" width="13.1796875" customWidth="1"/>
    <col min="5" max="5" width="13.81640625" customWidth="1"/>
    <col min="6" max="6" width="17.81640625" customWidth="1"/>
    <col min="7" max="7" width="22.08984375" customWidth="1"/>
    <col min="8" max="8" width="14.26953125" customWidth="1"/>
    <col min="9" max="9" width="20.36328125" customWidth="1"/>
    <col min="10" max="10" width="16.6328125" customWidth="1"/>
    <col min="12" max="12" width="14.26953125" customWidth="1"/>
  </cols>
  <sheetData>
    <row r="1" spans="1:12" ht="18.5" x14ac:dyDescent="0.45">
      <c r="A1" s="97" t="s">
        <v>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8.5" customHeight="1" x14ac:dyDescent="0.35">
      <c r="A2" s="14"/>
      <c r="B2" s="14" t="s">
        <v>86</v>
      </c>
      <c r="C2" s="14" t="str">
        <f>INDEX(B7:B31,MATCH(1,K7:K31,0))</f>
        <v>I&amp;M Holdings</v>
      </c>
      <c r="D2" s="14"/>
      <c r="E2" s="14"/>
      <c r="F2" s="14"/>
      <c r="G2" s="14"/>
      <c r="H2" s="14"/>
      <c r="I2" s="14"/>
      <c r="J2" s="14"/>
      <c r="K2" s="14"/>
      <c r="L2" s="14"/>
    </row>
    <row r="3" spans="1:12" ht="18.5" customHeight="1" x14ac:dyDescent="0.35">
      <c r="A3" s="14"/>
      <c r="B3" s="14" t="s">
        <v>85</v>
      </c>
      <c r="C3" s="15">
        <f>MAX(J7:J31)</f>
        <v>91.465000000000003</v>
      </c>
      <c r="D3" s="14"/>
      <c r="E3" s="14"/>
      <c r="F3" s="14"/>
      <c r="G3" s="14"/>
      <c r="H3" s="14"/>
      <c r="I3" s="14"/>
      <c r="J3" s="14"/>
      <c r="K3" s="14"/>
      <c r="L3" s="14"/>
    </row>
    <row r="4" spans="1:12" ht="18.5" customHeight="1" x14ac:dyDescent="0.35">
      <c r="A4" s="14"/>
      <c r="B4" s="14" t="s">
        <v>84</v>
      </c>
      <c r="C4" s="15">
        <f>AVERAGE(J7:J31)</f>
        <v>53.182799999999986</v>
      </c>
      <c r="D4" s="14"/>
      <c r="E4" s="14"/>
      <c r="F4" s="14"/>
      <c r="G4" s="14"/>
      <c r="H4" s="14"/>
      <c r="I4" s="14"/>
      <c r="J4" s="14"/>
      <c r="K4" s="14"/>
      <c r="L4" s="14"/>
    </row>
    <row r="5" spans="1:12" ht="18.5" customHeight="1" x14ac:dyDescent="0.35">
      <c r="A5" s="14"/>
      <c r="B5" s="14" t="s">
        <v>83</v>
      </c>
      <c r="C5" s="14">
        <f>COUNTIF(L7:L31,"*Buy*")</f>
        <v>10</v>
      </c>
      <c r="D5" s="14"/>
      <c r="E5" s="14"/>
      <c r="F5" s="14"/>
      <c r="G5" s="14"/>
      <c r="H5" s="14"/>
      <c r="I5" s="14"/>
      <c r="J5" s="14"/>
      <c r="K5" s="14"/>
      <c r="L5" s="14"/>
    </row>
    <row r="6" spans="1:12" ht="29" x14ac:dyDescent="0.35">
      <c r="A6" s="11" t="s">
        <v>0</v>
      </c>
      <c r="B6" s="11" t="s">
        <v>1</v>
      </c>
      <c r="C6" s="11" t="s">
        <v>2</v>
      </c>
      <c r="D6" s="11" t="s">
        <v>3</v>
      </c>
      <c r="E6" s="11" t="s">
        <v>74</v>
      </c>
      <c r="F6" s="11" t="s">
        <v>75</v>
      </c>
      <c r="G6" s="11" t="s">
        <v>76</v>
      </c>
      <c r="H6" s="11" t="s">
        <v>77</v>
      </c>
      <c r="I6" s="11" t="s">
        <v>78</v>
      </c>
      <c r="J6" s="11" t="s">
        <v>79</v>
      </c>
      <c r="K6" s="11" t="s">
        <v>80</v>
      </c>
      <c r="L6" s="11" t="s">
        <v>81</v>
      </c>
    </row>
    <row r="7" spans="1:12" x14ac:dyDescent="0.35">
      <c r="A7" s="4">
        <v>1</v>
      </c>
      <c r="B7" s="4" t="str">
        <f>Stock_Data!B3</f>
        <v>Equity Group Holdings</v>
      </c>
      <c r="C7" s="4" t="str">
        <f>Stock_Data!C3</f>
        <v>EQTY</v>
      </c>
      <c r="D7" s="5" t="str">
        <f>Stock_Data!D3</f>
        <v>Banking</v>
      </c>
      <c r="E7" s="12">
        <f>(1-PERCENTRANK(Stock_Data!I3:I27,Stock_Data!I3))*100</f>
        <v>45.9</v>
      </c>
      <c r="F7" s="12">
        <f>PERCENTRANK(Stock_Data!M3:M27,Stock_Data!M3)*100</f>
        <v>87.5</v>
      </c>
      <c r="G7" s="12">
        <f>PERCENTRANK(Stock_Data!N3:N27,Stock_Data!N3)*100</f>
        <v>79.100000000000009</v>
      </c>
      <c r="H7" s="12">
        <f>(1-PERCENTRANK(Stock_Data!K3:K27,Stock_Data!K3))*100</f>
        <v>41.7</v>
      </c>
      <c r="I7" s="12">
        <f>PERCENTRANK(Stock_Data!$Q$3:$Q$27,Stock_Data!Q3)*100</f>
        <v>12.5</v>
      </c>
      <c r="J7" s="12">
        <f>(E7*0.25)+(F7*0.2)+(G7*0.2)+(H7*0.2)+(I7*0.15)</f>
        <v>55.010000000000005</v>
      </c>
      <c r="K7" s="13">
        <f>RANK(J7,$J$7:$J$31,0)</f>
        <v>13</v>
      </c>
      <c r="L7" s="13" t="str" cm="1">
        <f t="array" ref="L7">_xlfn.IFS(J7&gt;=75," Strong Buy",J7&gt;=60," Buy",J7&gt;=45,"Hold",J7&gt;=30," Underperform",J7&lt;30,"Avoid")</f>
        <v>Hold</v>
      </c>
    </row>
    <row r="8" spans="1:12" x14ac:dyDescent="0.35">
      <c r="A8" s="4">
        <v>2</v>
      </c>
      <c r="B8" s="4" t="str">
        <f>Stock_Data!B4</f>
        <v>KCB Group</v>
      </c>
      <c r="C8" s="4" t="str">
        <f>Stock_Data!C4</f>
        <v>KCB</v>
      </c>
      <c r="D8" s="5" t="str">
        <f>Stock_Data!D4</f>
        <v>Banking</v>
      </c>
      <c r="E8" s="12">
        <f>(1-PERCENTRANK(Stock_Data!I4:I28,Stock_Data!I4))*100</f>
        <v>87</v>
      </c>
      <c r="F8" s="12">
        <f>PERCENTRANK(Stock_Data!M4:M28,Stock_Data!M4)*100</f>
        <v>47.8</v>
      </c>
      <c r="G8" s="12">
        <f>PERCENTRANK(Stock_Data!N4:N28,Stock_Data!N4)*100</f>
        <v>30.4</v>
      </c>
      <c r="H8" s="12">
        <f>(1-PERCENTRANK(Stock_Data!K4:K28,Stock_Data!K4))*100</f>
        <v>78.3</v>
      </c>
      <c r="I8" s="12">
        <f>PERCENTRANK(Stock_Data!$Q$3:$Q$27,Stock_Data!Q4)*100</f>
        <v>29.099999999999998</v>
      </c>
      <c r="J8" s="12">
        <f t="shared" ref="J8:J31" si="0">(E8*0.25)+(F8*0.2)+(G8*0.2)+(H8*0.2)+(I8*0.15)</f>
        <v>57.414999999999999</v>
      </c>
      <c r="K8" s="13">
        <f t="shared" ref="K8:K31" si="1">RANK(J8,$J$7:$J$31,0)</f>
        <v>12</v>
      </c>
      <c r="L8" s="13" t="str" cm="1">
        <f t="array" ref="L8">_xlfn.IFS(J8&gt;=75," Strong Buy",J8&gt;=60," Buy",J8&gt;=45,"Hold",J8&gt;=30," Underperform",J8&lt;30,"Avoid")</f>
        <v>Hold</v>
      </c>
    </row>
    <row r="9" spans="1:12" x14ac:dyDescent="0.35">
      <c r="A9" s="4">
        <v>3</v>
      </c>
      <c r="B9" s="4" t="str">
        <f>Stock_Data!B5</f>
        <v>Co-operative Bank</v>
      </c>
      <c r="C9" s="4" t="str">
        <f>Stock_Data!C5</f>
        <v>COOP</v>
      </c>
      <c r="D9" s="5" t="str">
        <f>Stock_Data!D5</f>
        <v>Banking</v>
      </c>
      <c r="E9" s="12">
        <f>(1-PERCENTRANK(Stock_Data!I5:I29,Stock_Data!I5))*100</f>
        <v>72.8</v>
      </c>
      <c r="F9" s="12">
        <f>PERCENTRANK(Stock_Data!M5:M29,Stock_Data!M5)*100</f>
        <v>54.500000000000007</v>
      </c>
      <c r="G9" s="12">
        <f>PERCENTRANK(Stock_Data!N5:N29,Stock_Data!N5)*100</f>
        <v>50</v>
      </c>
      <c r="H9" s="12">
        <f>(1-PERCENTRANK(Stock_Data!K5:K29,Stock_Data!K5))*100</f>
        <v>63.7</v>
      </c>
      <c r="I9" s="12">
        <f>PERCENTRANK(Stock_Data!$Q$3:$Q$27,Stock_Data!Q5)*100</f>
        <v>91.600000000000009</v>
      </c>
      <c r="J9" s="12">
        <f t="shared" si="0"/>
        <v>65.58</v>
      </c>
      <c r="K9" s="13">
        <f t="shared" si="1"/>
        <v>8</v>
      </c>
      <c r="L9" s="13" t="str" cm="1">
        <f t="array" ref="L9">_xlfn.IFS(J9&gt;=75," Strong Buy",J9&gt;=60," Buy",J9&gt;=45,"Hold",J9&gt;=30," Underperform",J9&lt;30,"Avoid")</f>
        <v xml:space="preserve"> Buy</v>
      </c>
    </row>
    <row r="10" spans="1:12" x14ac:dyDescent="0.35">
      <c r="A10" s="4">
        <v>4</v>
      </c>
      <c r="B10" s="4" t="str">
        <f>Stock_Data!B6</f>
        <v>NCBA Group</v>
      </c>
      <c r="C10" s="4" t="str">
        <f>Stock_Data!C6</f>
        <v>NCBA</v>
      </c>
      <c r="D10" s="5" t="str">
        <f>Stock_Data!D6</f>
        <v>Banking</v>
      </c>
      <c r="E10" s="12">
        <f>(1-PERCENTRANK(Stock_Data!I6:I30,Stock_Data!I6))*100</f>
        <v>76.2</v>
      </c>
      <c r="F10" s="12">
        <f>PERCENTRANK(Stock_Data!M6:M30,Stock_Data!M6)*100</f>
        <v>85.7</v>
      </c>
      <c r="G10" s="12">
        <f>PERCENTRANK(Stock_Data!N6:N30,Stock_Data!N6)*100</f>
        <v>90.4</v>
      </c>
      <c r="H10" s="12">
        <f>(1-PERCENTRANK(Stock_Data!K6:K30,Stock_Data!K6))*100</f>
        <v>52.400000000000006</v>
      </c>
      <c r="I10" s="12">
        <f>PERCENTRANK(Stock_Data!$Q$3:$Q$27,Stock_Data!Q6)*100</f>
        <v>100</v>
      </c>
      <c r="J10" s="12">
        <f t="shared" si="0"/>
        <v>79.75</v>
      </c>
      <c r="K10" s="13">
        <f t="shared" si="1"/>
        <v>2</v>
      </c>
      <c r="L10" s="13" t="str" cm="1">
        <f t="array" ref="L10">_xlfn.IFS(J10&gt;=75," Strong Buy",J10&gt;=60," Buy",J10&gt;=45,"Hold",J10&gt;=30," Underperform",J10&lt;30,"Avoid")</f>
        <v xml:space="preserve"> Strong Buy</v>
      </c>
    </row>
    <row r="11" spans="1:12" x14ac:dyDescent="0.35">
      <c r="A11" s="4">
        <v>5</v>
      </c>
      <c r="B11" s="4" t="str">
        <f>Stock_Data!B7</f>
        <v>Diamond Trust Bank</v>
      </c>
      <c r="C11" s="4" t="str">
        <f>Stock_Data!C7</f>
        <v>DTB</v>
      </c>
      <c r="D11" s="5" t="str">
        <f>Stock_Data!D7</f>
        <v>Banking</v>
      </c>
      <c r="E11" s="12">
        <f>(1-PERCENTRANK(Stock_Data!I7:I31,Stock_Data!I7))*100</f>
        <v>95</v>
      </c>
      <c r="F11" s="12">
        <f>PERCENTRANK(Stock_Data!M7:M31,Stock_Data!M7)*100</f>
        <v>45</v>
      </c>
      <c r="G11" s="12">
        <f>PERCENTRANK(Stock_Data!N7:N31,Stock_Data!N7)*100</f>
        <v>50</v>
      </c>
      <c r="H11" s="12">
        <f>(1-PERCENTRANK(Stock_Data!K7:K31,Stock_Data!K7))*100</f>
        <v>85</v>
      </c>
      <c r="I11" s="12">
        <f>PERCENTRANK(Stock_Data!$Q$3:$Q$27,Stock_Data!Q7)*100</f>
        <v>45.800000000000004</v>
      </c>
      <c r="J11" s="12">
        <f t="shared" si="0"/>
        <v>66.62</v>
      </c>
      <c r="K11" s="13">
        <f t="shared" si="1"/>
        <v>6</v>
      </c>
      <c r="L11" s="13" t="str" cm="1">
        <f t="array" ref="L11">_xlfn.IFS(J11&gt;=75," Strong Buy",J11&gt;=60," Buy",J11&gt;=45,"Hold",J11&gt;=30," Underperform",J11&lt;30,"Avoid")</f>
        <v xml:space="preserve"> Buy</v>
      </c>
    </row>
    <row r="12" spans="1:12" x14ac:dyDescent="0.35">
      <c r="A12" s="4">
        <v>6</v>
      </c>
      <c r="B12" s="4" t="str">
        <f>Stock_Data!B8</f>
        <v>Stanbic Holdings</v>
      </c>
      <c r="C12" s="4" t="str">
        <f>Stock_Data!C8</f>
        <v>SBIC</v>
      </c>
      <c r="D12" s="5" t="str">
        <f>Stock_Data!D8</f>
        <v>Banking</v>
      </c>
      <c r="E12" s="12">
        <f>(1-PERCENTRANK(Stock_Data!I8:I32,Stock_Data!I8))*100</f>
        <v>73.7</v>
      </c>
      <c r="F12" s="12">
        <f>PERCENTRANK(Stock_Data!M8:M32,Stock_Data!M8)*100</f>
        <v>47.3</v>
      </c>
      <c r="G12" s="12">
        <f>PERCENTRANK(Stock_Data!N8:N32,Stock_Data!N8)*100</f>
        <v>100</v>
      </c>
      <c r="H12" s="12">
        <f>(1-PERCENTRANK(Stock_Data!K8:K32,Stock_Data!K8))*100</f>
        <v>15.800000000000002</v>
      </c>
      <c r="I12" s="12">
        <f>PERCENTRANK(Stock_Data!$Q$3:$Q$27,Stock_Data!Q8)*100</f>
        <v>75</v>
      </c>
      <c r="J12" s="12">
        <f t="shared" si="0"/>
        <v>62.295000000000002</v>
      </c>
      <c r="K12" s="13">
        <f t="shared" si="1"/>
        <v>9</v>
      </c>
      <c r="L12" s="13" t="str" cm="1">
        <f t="array" ref="L12">_xlfn.IFS(J12&gt;=75," Strong Buy",J12&gt;=60," Buy",J12&gt;=45,"Hold",J12&gt;=30," Underperform",J12&lt;30,"Avoid")</f>
        <v xml:space="preserve"> Buy</v>
      </c>
    </row>
    <row r="13" spans="1:12" x14ac:dyDescent="0.35">
      <c r="A13" s="4">
        <v>7</v>
      </c>
      <c r="B13" s="4" t="str">
        <f>Stock_Data!B9</f>
        <v>Standard Chartered</v>
      </c>
      <c r="C13" s="4" t="str">
        <f>Stock_Data!C9</f>
        <v>SCBK</v>
      </c>
      <c r="D13" s="5" t="str">
        <f>Stock_Data!D9</f>
        <v>Banking</v>
      </c>
      <c r="E13" s="12">
        <f>(1-PERCENTRANK(Stock_Data!I9:I33,Stock_Data!I9))*100</f>
        <v>72.3</v>
      </c>
      <c r="F13" s="12">
        <f>PERCENTRANK(Stock_Data!M9:M33,Stock_Data!M9)*100</f>
        <v>88.8</v>
      </c>
      <c r="G13" s="12">
        <f>PERCENTRANK(Stock_Data!N9:N33,Stock_Data!N9)*100</f>
        <v>77.7</v>
      </c>
      <c r="H13" s="12">
        <f>(1-PERCENTRANK(Stock_Data!K9:K33,Stock_Data!K9))*100</f>
        <v>22.299999999999997</v>
      </c>
      <c r="I13" s="12">
        <f>PERCENTRANK(Stock_Data!$Q$3:$Q$27,Stock_Data!Q9)*100</f>
        <v>66.600000000000009</v>
      </c>
      <c r="J13" s="12">
        <f t="shared" si="0"/>
        <v>65.825000000000003</v>
      </c>
      <c r="K13" s="13">
        <f t="shared" si="1"/>
        <v>7</v>
      </c>
      <c r="L13" s="13" t="str" cm="1">
        <f t="array" ref="L13">_xlfn.IFS(J13&gt;=75," Strong Buy",J13&gt;=60," Buy",J13&gt;=45,"Hold",J13&gt;=30," Underperform",J13&lt;30,"Avoid")</f>
        <v xml:space="preserve"> Buy</v>
      </c>
    </row>
    <row r="14" spans="1:12" x14ac:dyDescent="0.35">
      <c r="A14" s="4">
        <v>8</v>
      </c>
      <c r="B14" s="4" t="str">
        <f>Stock_Data!B10</f>
        <v>Safaricom PLC</v>
      </c>
      <c r="C14" s="4" t="str">
        <f>Stock_Data!C10</f>
        <v>SCOM</v>
      </c>
      <c r="D14" s="5" t="str">
        <f>Stock_Data!D10</f>
        <v>Telco</v>
      </c>
      <c r="E14" s="12">
        <f>(1-PERCENTRANK(Stock_Data!I10:I34,Stock_Data!I10))*100</f>
        <v>11.799999999999999</v>
      </c>
      <c r="F14" s="12">
        <f>PERCENTRANK(Stock_Data!M10:M34,Stock_Data!M10)*100</f>
        <v>29.4</v>
      </c>
      <c r="G14" s="12">
        <f>PERCENTRANK(Stock_Data!N10:N34,Stock_Data!N10)*100</f>
        <v>11.700000000000001</v>
      </c>
      <c r="H14" s="12">
        <f>(1-PERCENTRANK(Stock_Data!K10:K34,Stock_Data!K10))*100</f>
        <v>11.799999999999999</v>
      </c>
      <c r="I14" s="12">
        <f>PERCENTRANK(Stock_Data!$Q$3:$Q$27,Stock_Data!Q10)*100</f>
        <v>37.5</v>
      </c>
      <c r="J14" s="12">
        <f t="shared" si="0"/>
        <v>19.155000000000001</v>
      </c>
      <c r="K14" s="13">
        <f t="shared" si="1"/>
        <v>24</v>
      </c>
      <c r="L14" s="13" t="str" cm="1">
        <f t="array" ref="L14">_xlfn.IFS(J14&gt;=75," Strong Buy",J14&gt;=60," Buy",J14&gt;=45,"Hold",J14&gt;=30," Underperform",J14&lt;30,"Avoid")</f>
        <v>Avoid</v>
      </c>
    </row>
    <row r="15" spans="1:12" x14ac:dyDescent="0.35">
      <c r="A15" s="4">
        <v>9</v>
      </c>
      <c r="B15" s="4" t="str">
        <f>Stock_Data!B11</f>
        <v>Jubilee Holdings</v>
      </c>
      <c r="C15" s="4" t="str">
        <f>Stock_Data!C11</f>
        <v>JUB</v>
      </c>
      <c r="D15" s="5" t="str">
        <f>Stock_Data!D11</f>
        <v>Insurance</v>
      </c>
      <c r="E15" s="12">
        <f>(1-PERCENTRANK(Stock_Data!I11:I35,Stock_Data!I11))*100</f>
        <v>68.8</v>
      </c>
      <c r="F15" s="12">
        <f>PERCENTRANK(Stock_Data!M11:M35,Stock_Data!M11)*100</f>
        <v>31.2</v>
      </c>
      <c r="G15" s="12">
        <f>PERCENTRANK(Stock_Data!N11:N35,Stock_Data!N11)*100</f>
        <v>62.5</v>
      </c>
      <c r="H15" s="12">
        <f>(1-PERCENTRANK(Stock_Data!K11:K35,Stock_Data!K11))*100</f>
        <v>37.5</v>
      </c>
      <c r="I15" s="12">
        <f>PERCENTRANK(Stock_Data!$Q$3:$Q$27,Stock_Data!Q11)*100</f>
        <v>66.600000000000009</v>
      </c>
      <c r="J15" s="12">
        <f t="shared" si="0"/>
        <v>53.43</v>
      </c>
      <c r="K15" s="13">
        <f t="shared" si="1"/>
        <v>14</v>
      </c>
      <c r="L15" s="13" t="str" cm="1">
        <f t="array" ref="L15">_xlfn.IFS(J15&gt;=75," Strong Buy",J15&gt;=60," Buy",J15&gt;=45,"Hold",J15&gt;=30," Underperform",J15&lt;30,"Avoid")</f>
        <v>Hold</v>
      </c>
    </row>
    <row r="16" spans="1:12" x14ac:dyDescent="0.35">
      <c r="A16" s="4">
        <v>10</v>
      </c>
      <c r="B16" s="4" t="str">
        <f>Stock_Data!B12</f>
        <v>Britam Holdings</v>
      </c>
      <c r="C16" s="4" t="str">
        <f>Stock_Data!C12</f>
        <v>BRIT</v>
      </c>
      <c r="D16" s="5" t="str">
        <f>Stock_Data!D12</f>
        <v>Insurance</v>
      </c>
      <c r="E16" s="12">
        <f>(1-PERCENTRANK(Stock_Data!I12:I36,Stock_Data!I12))*100</f>
        <v>13.4</v>
      </c>
      <c r="F16" s="12">
        <f>PERCENTRANK(Stock_Data!M12:M36,Stock_Data!M12)*100</f>
        <v>20</v>
      </c>
      <c r="G16" s="12">
        <f>PERCENTRANK(Stock_Data!N12:N36,Stock_Data!N12)*100</f>
        <v>20</v>
      </c>
      <c r="H16" s="12">
        <f>(1-PERCENTRANK(Stock_Data!K12:K36,Stock_Data!K12))*100</f>
        <v>73.400000000000006</v>
      </c>
      <c r="I16" s="12">
        <f>PERCENTRANK(Stock_Data!$Q$3:$Q$27,Stock_Data!Q12)*100</f>
        <v>20.8</v>
      </c>
      <c r="J16" s="12">
        <f t="shared" si="0"/>
        <v>29.150000000000002</v>
      </c>
      <c r="K16" s="13">
        <f t="shared" si="1"/>
        <v>23</v>
      </c>
      <c r="L16" s="13" t="str" cm="1">
        <f t="array" ref="L16">_xlfn.IFS(J16&gt;=75," Strong Buy",J16&gt;=60," Buy",J16&gt;=45,"Hold",J16&gt;=30," Underperform",J16&lt;30,"Avoid")</f>
        <v>Avoid</v>
      </c>
    </row>
    <row r="17" spans="1:12" x14ac:dyDescent="0.35">
      <c r="A17" s="4">
        <v>11</v>
      </c>
      <c r="B17" s="4" t="str">
        <f>Stock_Data!B13</f>
        <v>CIC Insurance</v>
      </c>
      <c r="C17" s="4" t="str">
        <f>Stock_Data!C13</f>
        <v>CIC</v>
      </c>
      <c r="D17" s="5" t="str">
        <f>Stock_Data!D13</f>
        <v>Insurance</v>
      </c>
      <c r="E17" s="12">
        <f>(1-PERCENTRANK(Stock_Data!I13:I37,Stock_Data!I13))*100</f>
        <v>7.1999999999999957</v>
      </c>
      <c r="F17" s="12">
        <f>PERCENTRANK(Stock_Data!M13:M37,Stock_Data!M13)*100</f>
        <v>7.1</v>
      </c>
      <c r="G17" s="12">
        <f>PERCENTRANK(Stock_Data!N13:N37,Stock_Data!N13)*100</f>
        <v>42.8</v>
      </c>
      <c r="H17" s="12">
        <f>(1-PERCENTRANK(Stock_Data!K13:K37,Stock_Data!K13))*100</f>
        <v>71.500000000000014</v>
      </c>
      <c r="I17" s="12">
        <f>PERCENTRANK(Stock_Data!$Q$3:$Q$27,Stock_Data!Q13)*100</f>
        <v>25</v>
      </c>
      <c r="J17" s="12">
        <f t="shared" si="0"/>
        <v>29.830000000000005</v>
      </c>
      <c r="K17" s="13">
        <f t="shared" si="1"/>
        <v>22</v>
      </c>
      <c r="L17" s="13" t="str" cm="1">
        <f t="array" ref="L17">_xlfn.IFS(J17&gt;=75," Strong Buy",J17&gt;=60," Buy",J17&gt;=45,"Hold",J17&gt;=30," Underperform",J17&lt;30,"Avoid")</f>
        <v>Avoid</v>
      </c>
    </row>
    <row r="18" spans="1:12" x14ac:dyDescent="0.35">
      <c r="A18" s="4">
        <v>12</v>
      </c>
      <c r="B18" s="4" t="str">
        <f>Stock_Data!B14</f>
        <v>Kenya Reinsurance</v>
      </c>
      <c r="C18" s="4" t="str">
        <f>Stock_Data!C14</f>
        <v>KNRE</v>
      </c>
      <c r="D18" s="5" t="str">
        <f>Stock_Data!D14</f>
        <v>Insurance</v>
      </c>
      <c r="E18" s="12">
        <f>(1-PERCENTRANK(Stock_Data!I14:I38,Stock_Data!I14))*100</f>
        <v>84.7</v>
      </c>
      <c r="F18" s="12">
        <f>PERCENTRANK(Stock_Data!M14:M38,Stock_Data!M14)*100</f>
        <v>84.6</v>
      </c>
      <c r="G18" s="12">
        <f>PERCENTRANK(Stock_Data!N14:N38,Stock_Data!N14)*100</f>
        <v>53.800000000000004</v>
      </c>
      <c r="H18" s="12">
        <f>(1-PERCENTRANK(Stock_Data!K14:K38,Stock_Data!K14))*100</f>
        <v>92.4</v>
      </c>
      <c r="I18" s="12">
        <f>PERCENTRANK(Stock_Data!$Q$3:$Q$27,Stock_Data!Q14)*100</f>
        <v>50</v>
      </c>
      <c r="J18" s="12">
        <f t="shared" si="0"/>
        <v>74.835000000000008</v>
      </c>
      <c r="K18" s="13">
        <f t="shared" si="1"/>
        <v>3</v>
      </c>
      <c r="L18" s="13" t="str" cm="1">
        <f t="array" ref="L18">_xlfn.IFS(J18&gt;=75," Strong Buy",J18&gt;=60," Buy",J18&gt;=45,"Hold",J18&gt;=30," Underperform",J18&lt;30,"Avoid")</f>
        <v xml:space="preserve"> Buy</v>
      </c>
    </row>
    <row r="19" spans="1:12" x14ac:dyDescent="0.35">
      <c r="A19" s="4">
        <v>13</v>
      </c>
      <c r="B19" s="4" t="str">
        <f>Stock_Data!B15</f>
        <v>EABL</v>
      </c>
      <c r="C19" s="4" t="str">
        <f>Stock_Data!C15</f>
        <v>EABL</v>
      </c>
      <c r="D19" s="5" t="str">
        <f>Stock_Data!D15</f>
        <v>Manufacturing</v>
      </c>
      <c r="E19" s="12">
        <f>(1-PERCENTRANK(Stock_Data!I15:I39,Stock_Data!I15))*100</f>
        <v>0</v>
      </c>
      <c r="F19" s="12">
        <f>PERCENTRANK(Stock_Data!M15:M39,Stock_Data!M15)*100</f>
        <v>25</v>
      </c>
      <c r="G19" s="12">
        <f>PERCENTRANK(Stock_Data!N15:N39,Stock_Data!N15)*100</f>
        <v>8.3000000000000007</v>
      </c>
      <c r="H19" s="12">
        <f>(1-PERCENTRANK(Stock_Data!K15:K39,Stock_Data!K15))*100</f>
        <v>0</v>
      </c>
      <c r="I19" s="12">
        <f>PERCENTRANK(Stock_Data!$Q$3:$Q$27,Stock_Data!Q15)*100</f>
        <v>0</v>
      </c>
      <c r="J19" s="12">
        <f t="shared" si="0"/>
        <v>6.66</v>
      </c>
      <c r="K19" s="13">
        <f t="shared" si="1"/>
        <v>25</v>
      </c>
      <c r="L19" s="13" t="str" cm="1">
        <f t="array" ref="L19">_xlfn.IFS(J19&gt;=75," Strong Buy",J19&gt;=60," Buy",J19&gt;=45,"Hold",J19&gt;=30," Underperform",J19&lt;30,"Avoid")</f>
        <v>Avoid</v>
      </c>
    </row>
    <row r="20" spans="1:12" x14ac:dyDescent="0.35">
      <c r="A20" s="4">
        <v>14</v>
      </c>
      <c r="B20" s="4" t="str">
        <f>Stock_Data!B16</f>
        <v>BAT Kenya</v>
      </c>
      <c r="C20" s="4" t="str">
        <f>Stock_Data!C16</f>
        <v>BAT</v>
      </c>
      <c r="D20" s="5" t="str">
        <f>Stock_Data!D16</f>
        <v>Manufacturing</v>
      </c>
      <c r="E20" s="12">
        <f>(1-PERCENTRANK(Stock_Data!I16:I40,Stock_Data!I16))*100</f>
        <v>18.200000000000006</v>
      </c>
      <c r="F20" s="12">
        <f>PERCENTRANK(Stock_Data!M16:M40,Stock_Data!M16)*100</f>
        <v>100</v>
      </c>
      <c r="G20" s="12">
        <f>PERCENTRANK(Stock_Data!N16:N40,Stock_Data!N16)*100</f>
        <v>36.299999999999997</v>
      </c>
      <c r="H20" s="12">
        <f>(1-PERCENTRANK(Stock_Data!K16:K40,Stock_Data!K16))*100</f>
        <v>0</v>
      </c>
      <c r="I20" s="12">
        <f>PERCENTRANK(Stock_Data!$Q$3:$Q$27,Stock_Data!Q16)*100</f>
        <v>91.600000000000009</v>
      </c>
      <c r="J20" s="12">
        <f t="shared" si="0"/>
        <v>45.550000000000004</v>
      </c>
      <c r="K20" s="13">
        <f t="shared" si="1"/>
        <v>17</v>
      </c>
      <c r="L20" s="13" t="str" cm="1">
        <f t="array" ref="L20">_xlfn.IFS(J20&gt;=75," Strong Buy",J20&gt;=60," Buy",J20&gt;=45,"Hold",J20&gt;=30," Underperform",J20&lt;30,"Avoid")</f>
        <v>Hold</v>
      </c>
    </row>
    <row r="21" spans="1:12" x14ac:dyDescent="0.35">
      <c r="A21" s="4">
        <v>15</v>
      </c>
      <c r="B21" s="4" t="str">
        <f>Stock_Data!B17</f>
        <v>Unga Group</v>
      </c>
      <c r="C21" s="4" t="str">
        <f>Stock_Data!C17</f>
        <v>UNGA</v>
      </c>
      <c r="D21" s="5" t="str">
        <f>Stock_Data!D17</f>
        <v>Manufacturing</v>
      </c>
      <c r="E21" s="12">
        <f>(1-PERCENTRANK(Stock_Data!I17:I41,Stock_Data!I17))*100</f>
        <v>30.000000000000004</v>
      </c>
      <c r="F21" s="12">
        <f>PERCENTRANK(Stock_Data!M17:M41,Stock_Data!M17)*100</f>
        <v>20</v>
      </c>
      <c r="G21" s="12">
        <f>PERCENTRANK(Stock_Data!N17:N41,Stock_Data!N17)*100</f>
        <v>60</v>
      </c>
      <c r="H21" s="12">
        <f>(1-PERCENTRANK(Stock_Data!K17:K41,Stock_Data!K17))*100</f>
        <v>60</v>
      </c>
      <c r="I21" s="12">
        <f>PERCENTRANK(Stock_Data!$Q$3:$Q$27,Stock_Data!Q17)*100</f>
        <v>16.600000000000001</v>
      </c>
      <c r="J21" s="12">
        <f t="shared" si="0"/>
        <v>37.99</v>
      </c>
      <c r="K21" s="13">
        <f t="shared" si="1"/>
        <v>21</v>
      </c>
      <c r="L21" s="13" t="str" cm="1">
        <f t="array" ref="L21">_xlfn.IFS(J21&gt;=75," Strong Buy",J21&gt;=60," Buy",J21&gt;=45,"Hold",J21&gt;=30," Underperform",J21&lt;30,"Avoid")</f>
        <v xml:space="preserve"> Underperform</v>
      </c>
    </row>
    <row r="22" spans="1:12" x14ac:dyDescent="0.35">
      <c r="A22" s="4">
        <v>16</v>
      </c>
      <c r="B22" s="4" t="str">
        <f>Stock_Data!B18</f>
        <v>Crown Paints</v>
      </c>
      <c r="C22" s="4" t="str">
        <f>Stock_Data!C18</f>
        <v>BERG</v>
      </c>
      <c r="D22" s="5" t="str">
        <f>Stock_Data!D18</f>
        <v>Manufacturing</v>
      </c>
      <c r="E22" s="12">
        <f>(1-PERCENTRANK(Stock_Data!I18:I42,Stock_Data!I18))*100</f>
        <v>55.600000000000009</v>
      </c>
      <c r="F22" s="12">
        <f>PERCENTRANK(Stock_Data!M18:M42,Stock_Data!M18)*100</f>
        <v>33.300000000000004</v>
      </c>
      <c r="G22" s="12">
        <f>PERCENTRANK(Stock_Data!N18:N42,Stock_Data!N18)*100</f>
        <v>88.8</v>
      </c>
      <c r="H22" s="12">
        <f>(1-PERCENTRANK(Stock_Data!K18:K42,Stock_Data!K18))*100</f>
        <v>55.600000000000009</v>
      </c>
      <c r="I22" s="12">
        <f>PERCENTRANK(Stock_Data!$Q$3:$Q$27,Stock_Data!Q18)*100</f>
        <v>79.100000000000009</v>
      </c>
      <c r="J22" s="12">
        <f t="shared" si="0"/>
        <v>61.305000000000014</v>
      </c>
      <c r="K22" s="13">
        <f t="shared" si="1"/>
        <v>10</v>
      </c>
      <c r="L22" s="13" t="str" cm="1">
        <f t="array" ref="L22">_xlfn.IFS(J22&gt;=75," Strong Buy",J22&gt;=60," Buy",J22&gt;=45,"Hold",J22&gt;=30," Underperform",J22&lt;30,"Avoid")</f>
        <v xml:space="preserve"> Buy</v>
      </c>
    </row>
    <row r="23" spans="1:12" x14ac:dyDescent="0.35">
      <c r="A23" s="4">
        <v>17</v>
      </c>
      <c r="B23" s="4" t="str">
        <f>Stock_Data!B19</f>
        <v>TotalEnergies Kenya</v>
      </c>
      <c r="C23" s="4" t="str">
        <f>Stock_Data!C19</f>
        <v>TOTAL</v>
      </c>
      <c r="D23" s="5" t="str">
        <f>Stock_Data!D19</f>
        <v>Energy</v>
      </c>
      <c r="E23" s="12">
        <f>(1-PERCENTRANK(Stock_Data!I19:I43,Stock_Data!I19))*100</f>
        <v>50</v>
      </c>
      <c r="F23" s="12">
        <f>PERCENTRANK(Stock_Data!M19:M43,Stock_Data!M19)*100</f>
        <v>37.5</v>
      </c>
      <c r="G23" s="12">
        <f>PERCENTRANK(Stock_Data!N19:N43,Stock_Data!N19)*100</f>
        <v>62.5</v>
      </c>
      <c r="H23" s="12">
        <f>(1-PERCENTRANK(Stock_Data!K19:K43,Stock_Data!K19))*100</f>
        <v>12.5</v>
      </c>
      <c r="I23" s="12">
        <f>PERCENTRANK(Stock_Data!$Q$3:$Q$27,Stock_Data!Q19)*100</f>
        <v>79.100000000000009</v>
      </c>
      <c r="J23" s="12">
        <f t="shared" si="0"/>
        <v>46.865000000000002</v>
      </c>
      <c r="K23" s="13">
        <f t="shared" si="1"/>
        <v>16</v>
      </c>
      <c r="L23" s="13" t="str" cm="1">
        <f t="array" ref="L23">_xlfn.IFS(J23&gt;=75," Strong Buy",J23&gt;=60," Buy",J23&gt;=45,"Hold",J23&gt;=30," Underperform",J23&lt;30,"Avoid")</f>
        <v>Hold</v>
      </c>
    </row>
    <row r="24" spans="1:12" x14ac:dyDescent="0.35">
      <c r="A24" s="4">
        <v>18</v>
      </c>
      <c r="B24" s="4" t="str">
        <f>Stock_Data!B20</f>
        <v>KenolKobil</v>
      </c>
      <c r="C24" s="4" t="str">
        <f>Stock_Data!C20</f>
        <v>KENO</v>
      </c>
      <c r="D24" s="5" t="str">
        <f>Stock_Data!D20</f>
        <v>Energy</v>
      </c>
      <c r="E24" s="12">
        <f>(1-PERCENTRANK(Stock_Data!I20:I44,Stock_Data!I20))*100</f>
        <v>57.2</v>
      </c>
      <c r="F24" s="12">
        <f>PERCENTRANK(Stock_Data!M20:M44,Stock_Data!M20)*100</f>
        <v>57.099999999999994</v>
      </c>
      <c r="G24" s="12">
        <f>PERCENTRANK(Stock_Data!N20:N44,Stock_Data!N20)*100</f>
        <v>100</v>
      </c>
      <c r="H24" s="12">
        <f>(1-PERCENTRANK(Stock_Data!K20:K44,Stock_Data!K20))*100</f>
        <v>14.3</v>
      </c>
      <c r="I24" s="12">
        <f>PERCENTRANK(Stock_Data!$Q$3:$Q$27,Stock_Data!Q20)*100</f>
        <v>62.5</v>
      </c>
      <c r="J24" s="12">
        <f t="shared" si="0"/>
        <v>57.954999999999998</v>
      </c>
      <c r="K24" s="13">
        <f t="shared" si="1"/>
        <v>11</v>
      </c>
      <c r="L24" s="13" t="str" cm="1">
        <f t="array" ref="L24">_xlfn.IFS(J24&gt;=75," Strong Buy",J24&gt;=60," Buy",J24&gt;=45,"Hold",J24&gt;=30," Underperform",J24&lt;30,"Avoid")</f>
        <v>Hold</v>
      </c>
    </row>
    <row r="25" spans="1:12" x14ac:dyDescent="0.35">
      <c r="A25" s="4">
        <v>19</v>
      </c>
      <c r="B25" s="4" t="str">
        <f>Stock_Data!B21</f>
        <v>Kenya Power</v>
      </c>
      <c r="C25" s="4" t="str">
        <f>Stock_Data!C21</f>
        <v>KPLC</v>
      </c>
      <c r="D25" s="5" t="str">
        <f>Stock_Data!D21</f>
        <v>Energy</v>
      </c>
      <c r="E25" s="12">
        <f>(1-PERCENTRANK(Stock_Data!I21:I45,Stock_Data!I21))*100</f>
        <v>100</v>
      </c>
      <c r="F25" s="12">
        <f>PERCENTRANK(Stock_Data!M21:M45,Stock_Data!M21)*100</f>
        <v>0</v>
      </c>
      <c r="G25" s="12">
        <f>PERCENTRANK(Stock_Data!N21:N45,Stock_Data!N21)*100</f>
        <v>0</v>
      </c>
      <c r="H25" s="12">
        <f>(1-PERCENTRANK(Stock_Data!K21:K45,Stock_Data!K21))*100</f>
        <v>83.399999999999991</v>
      </c>
      <c r="I25" s="12">
        <f>PERCENTRANK(Stock_Data!$Q$3:$Q$27,Stock_Data!Q21)*100</f>
        <v>54.1</v>
      </c>
      <c r="J25" s="12">
        <f t="shared" si="0"/>
        <v>49.795000000000002</v>
      </c>
      <c r="K25" s="13">
        <f t="shared" si="1"/>
        <v>15</v>
      </c>
      <c r="L25" s="13" t="str" cm="1">
        <f t="array" ref="L25">_xlfn.IFS(J25&gt;=75," Strong Buy",J25&gt;=60," Buy",J25&gt;=45,"Hold",J25&gt;=30," Underperform",J25&lt;30,"Avoid")</f>
        <v>Hold</v>
      </c>
    </row>
    <row r="26" spans="1:12" x14ac:dyDescent="0.35">
      <c r="A26" s="4">
        <v>20</v>
      </c>
      <c r="B26" s="4" t="str">
        <f>Stock_Data!B22</f>
        <v>Umeme Ltd</v>
      </c>
      <c r="C26" s="4" t="str">
        <f>Stock_Data!C22</f>
        <v>UMME</v>
      </c>
      <c r="D26" s="5" t="str">
        <f>Stock_Data!D22</f>
        <v>Energy</v>
      </c>
      <c r="E26" s="12">
        <f>(1-PERCENTRANK(Stock_Data!I22:I46,Stock_Data!I22))*100</f>
        <v>100</v>
      </c>
      <c r="F26" s="12">
        <f>PERCENTRANK(Stock_Data!M22:M46,Stock_Data!M22)*100</f>
        <v>100</v>
      </c>
      <c r="G26" s="12">
        <f>PERCENTRANK(Stock_Data!N22:N46,Stock_Data!N22)*100</f>
        <v>80</v>
      </c>
      <c r="H26" s="12">
        <f>(1-PERCENTRANK(Stock_Data!K22:K46,Stock_Data!K22))*100</f>
        <v>19.999999999999996</v>
      </c>
      <c r="I26" s="12">
        <f>PERCENTRANK(Stock_Data!$Q$3:$Q$27,Stock_Data!Q22)*100</f>
        <v>58.3</v>
      </c>
      <c r="J26" s="12">
        <f t="shared" si="0"/>
        <v>73.745000000000005</v>
      </c>
      <c r="K26" s="13">
        <f t="shared" si="1"/>
        <v>4</v>
      </c>
      <c r="L26" s="13" t="str" cm="1">
        <f t="array" ref="L26">_xlfn.IFS(J26&gt;=75," Strong Buy",J26&gt;=60," Buy",J26&gt;=45,"Hold",J26&gt;=30," Underperform",J26&lt;30,"Avoid")</f>
        <v xml:space="preserve"> Buy</v>
      </c>
    </row>
    <row r="27" spans="1:12" x14ac:dyDescent="0.35">
      <c r="A27" s="4">
        <v>21</v>
      </c>
      <c r="B27" s="4" t="str">
        <f>Stock_Data!B23</f>
        <v>Centum Investment</v>
      </c>
      <c r="C27" s="4" t="str">
        <f>Stock_Data!C23</f>
        <v>CTUM</v>
      </c>
      <c r="D27" s="5" t="str">
        <f>Stock_Data!D23</f>
        <v>Investment</v>
      </c>
      <c r="E27" s="12">
        <f>(1-PERCENTRANK(Stock_Data!I23:I47,Stock_Data!I23))*100</f>
        <v>25</v>
      </c>
      <c r="F27" s="12">
        <f>PERCENTRANK(Stock_Data!M23:M47,Stock_Data!M23)*100</f>
        <v>25</v>
      </c>
      <c r="G27" s="12">
        <f>PERCENTRANK(Stock_Data!N23:N47,Stock_Data!N23)*100</f>
        <v>50</v>
      </c>
      <c r="H27" s="12">
        <f>(1-PERCENTRANK(Stock_Data!K23:K47,Stock_Data!K23))*100</f>
        <v>100</v>
      </c>
      <c r="I27" s="12">
        <f>PERCENTRANK(Stock_Data!$Q$3:$Q$27,Stock_Data!Q23)*100</f>
        <v>4.1000000000000005</v>
      </c>
      <c r="J27" s="12">
        <f t="shared" si="0"/>
        <v>41.865000000000002</v>
      </c>
      <c r="K27" s="13">
        <f t="shared" si="1"/>
        <v>19</v>
      </c>
      <c r="L27" s="13" t="str" cm="1">
        <f t="array" ref="L27">_xlfn.IFS(J27&gt;=75," Strong Buy",J27&gt;=60," Buy",J27&gt;=45,"Hold",J27&gt;=30," Underperform",J27&lt;30,"Avoid")</f>
        <v xml:space="preserve"> Underperform</v>
      </c>
    </row>
    <row r="28" spans="1:12" x14ac:dyDescent="0.35">
      <c r="A28" s="4">
        <v>22</v>
      </c>
      <c r="B28" s="4" t="str">
        <f>Stock_Data!B24</f>
        <v>I&amp;M Holdings</v>
      </c>
      <c r="C28" s="4" t="str">
        <f>Stock_Data!C24</f>
        <v>IMH</v>
      </c>
      <c r="D28" s="5" t="str">
        <f>Stock_Data!D24</f>
        <v>Investment</v>
      </c>
      <c r="E28" s="12">
        <f>(1-PERCENTRANK(Stock_Data!I24:I48,Stock_Data!I24))*100</f>
        <v>100</v>
      </c>
      <c r="F28" s="12">
        <f>PERCENTRANK(Stock_Data!M24:M48,Stock_Data!M24)*100</f>
        <v>100</v>
      </c>
      <c r="G28" s="12">
        <f>PERCENTRANK(Stock_Data!N24:N48,Stock_Data!N24)*100</f>
        <v>100</v>
      </c>
      <c r="H28" s="12">
        <f>(1-PERCENTRANK(Stock_Data!K24:K48,Stock_Data!K24))*100</f>
        <v>66.7</v>
      </c>
      <c r="I28" s="12">
        <f>PERCENTRANK(Stock_Data!$Q$3:$Q$27,Stock_Data!Q24)*100</f>
        <v>87.5</v>
      </c>
      <c r="J28" s="12">
        <f t="shared" si="0"/>
        <v>91.465000000000003</v>
      </c>
      <c r="K28" s="13">
        <f t="shared" si="1"/>
        <v>1</v>
      </c>
      <c r="L28" s="13" t="str" cm="1">
        <f t="array" ref="L28">_xlfn.IFS(J28&gt;=75," Strong Buy",J28&gt;=60," Buy",J28&gt;=45,"Hold",J28&gt;=30," Underperform",J28&lt;30,"Avoid")</f>
        <v xml:space="preserve"> Strong Buy</v>
      </c>
    </row>
    <row r="29" spans="1:12" x14ac:dyDescent="0.35">
      <c r="A29" s="4">
        <v>23</v>
      </c>
      <c r="B29" s="4" t="str">
        <f>Stock_Data!B25</f>
        <v>Olympia Capital</v>
      </c>
      <c r="C29" s="4" t="str">
        <f>Stock_Data!C25</f>
        <v>OCH</v>
      </c>
      <c r="D29" s="5" t="str">
        <f>Stock_Data!D25</f>
        <v>Investment</v>
      </c>
      <c r="E29" s="12">
        <f>(1-PERCENTRANK(Stock_Data!I25:I49,Stock_Data!I25))*100</f>
        <v>0</v>
      </c>
      <c r="F29" s="12">
        <f>PERCENTRANK(Stock_Data!M25:M49,Stock_Data!M25)*100</f>
        <v>0</v>
      </c>
      <c r="G29" s="12">
        <f>PERCENTRANK(Stock_Data!N25:N49,Stock_Data!N25)*100</f>
        <v>100</v>
      </c>
      <c r="H29" s="12">
        <f>(1-PERCENTRANK(Stock_Data!K25:K49,Stock_Data!K25))*100</f>
        <v>100</v>
      </c>
      <c r="I29" s="12">
        <f>PERCENTRANK(Stock_Data!$Q$3:$Q$27,Stock_Data!Q25)*100</f>
        <v>33.300000000000004</v>
      </c>
      <c r="J29" s="12">
        <f t="shared" si="0"/>
        <v>44.994999999999997</v>
      </c>
      <c r="K29" s="13">
        <f t="shared" si="1"/>
        <v>18</v>
      </c>
      <c r="L29" s="13" t="str" cm="1">
        <f t="array" ref="L29">_xlfn.IFS(J29&gt;=75," Strong Buy",J29&gt;=60," Buy",J29&gt;=45,"Hold",J29&gt;=30," Underperform",J29&lt;30,"Avoid")</f>
        <v xml:space="preserve"> Underperform</v>
      </c>
    </row>
    <row r="30" spans="1:12" x14ac:dyDescent="0.35">
      <c r="A30" s="4">
        <v>24</v>
      </c>
      <c r="B30" s="4" t="str">
        <f>Stock_Data!B26</f>
        <v>Nation Media Group</v>
      </c>
      <c r="C30" s="4" t="str">
        <f>Stock_Data!C26</f>
        <v>NMG</v>
      </c>
      <c r="D30" s="5" t="str">
        <f>Stock_Data!D26</f>
        <v>Investment</v>
      </c>
      <c r="E30" s="12">
        <f>(1-PERCENTRANK(Stock_Data!I26:I50,Stock_Data!I26))*100</f>
        <v>100</v>
      </c>
      <c r="F30" s="12">
        <f>PERCENTRANK(Stock_Data!M26:M50,Stock_Data!M26)*100</f>
        <v>100</v>
      </c>
      <c r="G30" s="12">
        <f>PERCENTRANK(Stock_Data!N26:N50,Stock_Data!N26)*100</f>
        <v>0</v>
      </c>
      <c r="H30" s="12">
        <f>(1-PERCENTRANK(Stock_Data!K26:K50,Stock_Data!K26))*100</f>
        <v>100</v>
      </c>
      <c r="I30" s="12">
        <f>PERCENTRANK(Stock_Data!$Q$3:$Q$27,Stock_Data!Q26)*100</f>
        <v>41.6</v>
      </c>
      <c r="J30" s="12">
        <f t="shared" si="0"/>
        <v>71.239999999999995</v>
      </c>
      <c r="K30" s="13">
        <f t="shared" si="1"/>
        <v>5</v>
      </c>
      <c r="L30" s="13" t="str" cm="1">
        <f t="array" ref="L30">_xlfn.IFS(J30&gt;=75," Strong Buy",J30&gt;=60," Buy",J30&gt;=45,"Hold",J30&gt;=30," Underperform",J30&lt;30,"Avoid")</f>
        <v xml:space="preserve"> Buy</v>
      </c>
    </row>
    <row r="31" spans="1:12" x14ac:dyDescent="0.35">
      <c r="A31" s="4">
        <v>25</v>
      </c>
      <c r="B31" s="4" t="str">
        <f>Stock_Data!B27</f>
        <v>Bamburi Cement</v>
      </c>
      <c r="C31" s="4" t="str">
        <f>Stock_Data!C27</f>
        <v>BAMB</v>
      </c>
      <c r="D31" s="5" t="str">
        <f>Stock_Data!D27</f>
        <v>Manufacturing</v>
      </c>
      <c r="E31" s="12">
        <f>(1-PERCENTRANK(Stock_Data!I27:I51,Stock_Data!I27))*100</f>
        <v>0</v>
      </c>
      <c r="F31" s="12">
        <f>PERCENTRANK(Stock_Data!M27:M51,Stock_Data!M27)*100</f>
        <v>100</v>
      </c>
      <c r="G31" s="12">
        <f>PERCENTRANK(Stock_Data!N27:N51,Stock_Data!N27)*100</f>
        <v>100</v>
      </c>
      <c r="H31" s="12">
        <f>(1-PERCENTRANK(Stock_Data!K27:K51,Stock_Data!K27))*100</f>
        <v>0</v>
      </c>
      <c r="I31" s="12">
        <f>PERCENTRANK(Stock_Data!$Q$3:$Q$27,Stock_Data!Q27)*100</f>
        <v>8.3000000000000007</v>
      </c>
      <c r="J31" s="12">
        <f t="shared" si="0"/>
        <v>41.244999999999997</v>
      </c>
      <c r="K31" s="13">
        <f t="shared" si="1"/>
        <v>20</v>
      </c>
      <c r="L31" s="13" t="str" cm="1">
        <f t="array" ref="L31">_xlfn.IFS(J31&gt;=75," Strong Buy",J31&gt;=60," Buy",J31&gt;=45,"Hold",J31&gt;=30," Underperform",J31&lt;30,"Avoid")</f>
        <v xml:space="preserve"> Underperform</v>
      </c>
    </row>
    <row r="32" spans="1:12" x14ac:dyDescent="0.35">
      <c r="E32" s="12"/>
      <c r="J32" s="12"/>
    </row>
    <row r="33" spans="5:10" x14ac:dyDescent="0.35">
      <c r="E33" s="12"/>
      <c r="J33" s="12"/>
    </row>
  </sheetData>
  <mergeCells count="1">
    <mergeCell ref="A1:L1"/>
  </mergeCells>
  <conditionalFormatting sqref="J7:J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L7 E8:E33 J8:J33 K8:L31 A8:I31">
    <cfRule type="expression" dxfId="2" priority="1">
      <formula>MOD(ROW(),2)=0</formula>
    </cfRule>
    <cfRule type="expression" dxfId="1" priority="2">
      <formula>MOD(ROW(),2)=0</formula>
    </cfRule>
    <cfRule type="expression" dxfId="0" priority="3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FB98-6D72-47F7-99B0-76746DD586D1}">
  <sheetPr>
    <tabColor rgb="FF7030A0"/>
  </sheetPr>
  <dimension ref="A1:Q29"/>
  <sheetViews>
    <sheetView topLeftCell="A17" workbookViewId="0">
      <selection activeCell="J26" sqref="J26"/>
    </sheetView>
  </sheetViews>
  <sheetFormatPr defaultRowHeight="14.5" x14ac:dyDescent="0.35"/>
  <cols>
    <col min="1" max="1" width="25.54296875" customWidth="1"/>
    <col min="2" max="2" width="13.1796875" customWidth="1"/>
    <col min="3" max="3" width="18.1796875" customWidth="1"/>
    <col min="4" max="4" width="13.54296875" customWidth="1"/>
    <col min="5" max="5" width="16.08984375" customWidth="1"/>
    <col min="6" max="6" width="14.54296875" customWidth="1"/>
    <col min="8" max="8" width="20" customWidth="1"/>
    <col min="9" max="9" width="11.54296875" customWidth="1"/>
    <col min="10" max="10" width="15.54296875" customWidth="1"/>
    <col min="11" max="11" width="17.54296875" customWidth="1"/>
    <col min="12" max="12" width="19.6328125" customWidth="1"/>
    <col min="13" max="13" width="16.1796875" customWidth="1"/>
    <col min="14" max="14" width="8.7265625" customWidth="1"/>
    <col min="17" max="17" width="9.6328125" bestFit="1" customWidth="1"/>
  </cols>
  <sheetData>
    <row r="1" spans="1:17" x14ac:dyDescent="0.35">
      <c r="A1" s="98" t="s">
        <v>87</v>
      </c>
      <c r="B1" s="98"/>
      <c r="C1" s="98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7" x14ac:dyDescent="0.35">
      <c r="A2" s="17" t="s">
        <v>88</v>
      </c>
      <c r="B2" s="17"/>
    </row>
    <row r="3" spans="1:17" ht="15.5" x14ac:dyDescent="0.35">
      <c r="A3" s="87" t="s">
        <v>90</v>
      </c>
      <c r="B3" s="88">
        <v>100000</v>
      </c>
    </row>
    <row r="4" spans="1:17" x14ac:dyDescent="0.35">
      <c r="A4" s="17" t="s">
        <v>91</v>
      </c>
      <c r="B4" s="39">
        <v>15.5</v>
      </c>
    </row>
    <row r="5" spans="1:17" x14ac:dyDescent="0.35">
      <c r="A5" s="17" t="s">
        <v>92</v>
      </c>
      <c r="B5" s="39">
        <v>3</v>
      </c>
    </row>
    <row r="6" spans="1:17" x14ac:dyDescent="0.35">
      <c r="A6" s="17" t="s">
        <v>89</v>
      </c>
      <c r="B6" s="18">
        <v>45627</v>
      </c>
    </row>
    <row r="9" spans="1:17" ht="29" x14ac:dyDescent="0.35">
      <c r="A9" s="19" t="s">
        <v>0</v>
      </c>
      <c r="B9" s="20" t="s">
        <v>93</v>
      </c>
      <c r="C9" s="20" t="s">
        <v>1</v>
      </c>
      <c r="D9" s="20" t="s">
        <v>3</v>
      </c>
      <c r="E9" s="20" t="s">
        <v>94</v>
      </c>
      <c r="F9" s="20" t="s">
        <v>95</v>
      </c>
      <c r="G9" s="20" t="s">
        <v>96</v>
      </c>
      <c r="H9" s="20" t="s">
        <v>97</v>
      </c>
      <c r="I9" s="20" t="s">
        <v>98</v>
      </c>
      <c r="J9" s="20" t="s">
        <v>99</v>
      </c>
      <c r="K9" s="20" t="s">
        <v>100</v>
      </c>
      <c r="L9" s="20" t="s">
        <v>143</v>
      </c>
      <c r="M9" s="20" t="s">
        <v>101</v>
      </c>
      <c r="N9" s="20" t="s">
        <v>102</v>
      </c>
      <c r="P9" s="20" t="s">
        <v>3</v>
      </c>
      <c r="Q9" s="20" t="s">
        <v>111</v>
      </c>
    </row>
    <row r="10" spans="1:17" x14ac:dyDescent="0.35">
      <c r="A10">
        <v>1</v>
      </c>
      <c r="B10" t="s">
        <v>26</v>
      </c>
      <c r="C10" t="str">
        <f>IFERROR(INDEX(Stock_Data!$B$3:$B$27,MATCH(B10,Stock_Data!$C$3:$C$27,0)),"")</f>
        <v>KCB Group</v>
      </c>
      <c r="D10" t="str">
        <f>IFERROR(VLOOKUP(B10,Stock_Data!C3:D27,2,0),"")</f>
        <v>Banking</v>
      </c>
      <c r="E10">
        <f>IFERROR(VLOOKUP(B10,Stock_Data!$C$3:$E$27,3,0),"")</f>
        <v>28.9</v>
      </c>
      <c r="F10">
        <f>IFERROR(VLOOKUP(B10,Screener!$C$7:$J$31,8,0),"")</f>
        <v>57.414999999999999</v>
      </c>
      <c r="G10" t="str">
        <f>IFERROR(VLOOKUP(B10,Screener!$C$7:$L$31,10,0),"")</f>
        <v>Hold</v>
      </c>
      <c r="H10" s="22">
        <v>20000</v>
      </c>
      <c r="I10" s="25">
        <f>IFERROR(H10/SUM($H$10:$H$19),"")</f>
        <v>5.6179775280898875E-2</v>
      </c>
      <c r="J10">
        <f>IFERROR(INT(H10/E10),"")</f>
        <v>692</v>
      </c>
      <c r="K10" s="21">
        <f>IFERROR(J10*E10,"")</f>
        <v>19998.8</v>
      </c>
      <c r="L10" s="105">
        <f>IFERROR(VLOOKUP(B10,Stock_Data!$C$3:$L$27,10,0)*J10,"")</f>
        <v>1384</v>
      </c>
      <c r="M10" s="24">
        <f>IFERROR(VLOOKUP(B10,Stock_Data!$C$3:$M$27,11,0),"")</f>
        <v>6.92</v>
      </c>
      <c r="N10" s="1">
        <f>IFERROR(I10*M10,"")</f>
        <v>0.38876404494382022</v>
      </c>
      <c r="P10" t="str">
        <f>IF(B10="","",D10)</f>
        <v>Banking</v>
      </c>
      <c r="Q10" s="21">
        <f>IF(B10="","",H10)</f>
        <v>20000</v>
      </c>
    </row>
    <row r="11" spans="1:17" x14ac:dyDescent="0.35">
      <c r="A11">
        <v>2</v>
      </c>
      <c r="B11" t="s">
        <v>28</v>
      </c>
      <c r="C11" t="str">
        <f>IFERROR(INDEX(Stock_Data!$B$3:$B$27,MATCH(B11,Stock_Data!$C$3:$C$27,0)),"")</f>
        <v>Co-operative Bank</v>
      </c>
      <c r="D11" t="str">
        <f>IFERROR(VLOOKUP(B11,Stock_Data!C4:D28,2,0),"")</f>
        <v>Banking</v>
      </c>
      <c r="E11">
        <f>IFERROR(VLOOKUP(B11,Stock_Data!$C$3:$E$27,3,0),"")</f>
        <v>13.5</v>
      </c>
      <c r="F11">
        <f>IFERROR(VLOOKUP(B11,Screener!$C$7:$J$31,8,0),"")</f>
        <v>65.58</v>
      </c>
      <c r="G11" t="str">
        <f>IFERROR(VLOOKUP(B11,Screener!$C$7:$L$31,10,0),"")</f>
        <v xml:space="preserve"> Buy</v>
      </c>
      <c r="H11" s="23">
        <v>70000</v>
      </c>
      <c r="I11" s="25">
        <f t="shared" ref="I11:I19" si="0">IFERROR(H11/SUM($H$10:$H$19),"")</f>
        <v>0.19662921348314608</v>
      </c>
      <c r="J11">
        <f t="shared" ref="J11:J19" si="1">IFERROR(INT(H11/E11),"")</f>
        <v>5185</v>
      </c>
      <c r="K11" s="21">
        <f t="shared" ref="K11:K19" si="2">IFERROR(J11*E11,"")</f>
        <v>69997.5</v>
      </c>
      <c r="L11" s="105">
        <f>IFERROR(VLOOKUP(B11,Stock_Data!$C$3:$L$27,10,0)*J11,"")</f>
        <v>5185</v>
      </c>
      <c r="M11" s="24">
        <f>IFERROR(VLOOKUP(B11,Stock_Data!$C$3:$M$27,11,0),"")</f>
        <v>7.41</v>
      </c>
      <c r="N11" s="1">
        <f t="shared" ref="N11:N17" si="3">IFERROR(I11*M11,"")</f>
        <v>1.4570224719101124</v>
      </c>
      <c r="P11" t="str">
        <f t="shared" ref="P11:P19" si="4">IF(B11="","",D11)</f>
        <v>Banking</v>
      </c>
      <c r="Q11" s="21">
        <f t="shared" ref="Q11:Q19" si="5">IF(B11="","",H11)</f>
        <v>70000</v>
      </c>
    </row>
    <row r="12" spans="1:17" x14ac:dyDescent="0.35">
      <c r="A12">
        <v>3</v>
      </c>
      <c r="B12" t="s">
        <v>27</v>
      </c>
      <c r="C12" t="str">
        <f>IFERROR(INDEX(Stock_Data!$B$3:$B$27,MATCH(B12,Stock_Data!$C$3:$C$27,0)),"")</f>
        <v>NCBA Group</v>
      </c>
      <c r="D12" t="str">
        <f>IFERROR(VLOOKUP(B12,Stock_Data!C5:D29,2,0),"")</f>
        <v>Banking</v>
      </c>
      <c r="E12">
        <f>IFERROR(VLOOKUP(B12,Stock_Data!$C$3:$E$27,3,0),"")</f>
        <v>37</v>
      </c>
      <c r="F12">
        <f>IFERROR(VLOOKUP(B12,Screener!$C$7:$J$31,8,0),"")</f>
        <v>79.75</v>
      </c>
      <c r="G12" t="str">
        <f>IFERROR(VLOOKUP(B12,Screener!$C$7:$L$31,10,0),"")</f>
        <v xml:space="preserve"> Strong Buy</v>
      </c>
      <c r="H12" s="23">
        <v>10000</v>
      </c>
      <c r="I12" s="25">
        <f t="shared" si="0"/>
        <v>2.8089887640449437E-2</v>
      </c>
      <c r="J12">
        <f t="shared" si="1"/>
        <v>270</v>
      </c>
      <c r="K12" s="21">
        <f t="shared" si="2"/>
        <v>9990</v>
      </c>
      <c r="L12" s="105">
        <f>IFERROR(VLOOKUP(B12,Stock_Data!$C$3:$L$27,10,0)*J12,"")</f>
        <v>877.5</v>
      </c>
      <c r="M12" s="24">
        <f>IFERROR(VLOOKUP(B12,Stock_Data!$C$3:$M$27,11,0),"")</f>
        <v>8.7799999999999994</v>
      </c>
      <c r="N12" s="1">
        <f t="shared" si="3"/>
        <v>0.24662921348314604</v>
      </c>
      <c r="P12" t="str">
        <f t="shared" si="4"/>
        <v>Banking</v>
      </c>
      <c r="Q12" s="21">
        <f t="shared" si="5"/>
        <v>10000</v>
      </c>
    </row>
    <row r="13" spans="1:17" x14ac:dyDescent="0.35">
      <c r="A13">
        <v>4</v>
      </c>
      <c r="B13" t="s">
        <v>66</v>
      </c>
      <c r="C13" t="str">
        <f>IFERROR(INDEX(Stock_Data!$B$3:$B$27,MATCH(B13,Stock_Data!$C$3:$C$27,0)),"")</f>
        <v>Bamburi Cement</v>
      </c>
      <c r="D13" t="str">
        <f>IFERROR(VLOOKUP(B13,Stock_Data!C6:D30,2,0),"")</f>
        <v>Manufacturing</v>
      </c>
      <c r="E13">
        <f>IFERROR(VLOOKUP(B13,Stock_Data!$C$3:$E$27,3,0),"")</f>
        <v>45</v>
      </c>
      <c r="F13">
        <f>IFERROR(VLOOKUP(B13,Screener!$C$7:$J$31,8,0),"")</f>
        <v>41.244999999999997</v>
      </c>
      <c r="G13" t="str">
        <f>IFERROR(VLOOKUP(B13,Screener!$C$7:$L$31,10,0),"")</f>
        <v xml:space="preserve"> Underperform</v>
      </c>
      <c r="H13" s="23">
        <v>20000</v>
      </c>
      <c r="I13" s="25">
        <f t="shared" si="0"/>
        <v>5.6179775280898875E-2</v>
      </c>
      <c r="J13">
        <f t="shared" si="1"/>
        <v>444</v>
      </c>
      <c r="K13" s="21">
        <f t="shared" si="2"/>
        <v>19980</v>
      </c>
      <c r="L13" s="105">
        <f>IFERROR(VLOOKUP(B13,Stock_Data!$C$3:$L$27,10,0)*J13,"")</f>
        <v>1554</v>
      </c>
      <c r="M13" s="24">
        <f>IFERROR(VLOOKUP(B13,Stock_Data!$C$3:$M$27,11,0),"")</f>
        <v>7.78</v>
      </c>
      <c r="N13" s="1">
        <f t="shared" si="3"/>
        <v>0.43707865168539328</v>
      </c>
      <c r="P13" t="str">
        <f t="shared" si="4"/>
        <v>Manufacturing</v>
      </c>
      <c r="Q13" s="21">
        <f t="shared" si="5"/>
        <v>20000</v>
      </c>
    </row>
    <row r="14" spans="1:17" x14ac:dyDescent="0.35">
      <c r="A14">
        <v>5</v>
      </c>
      <c r="B14" t="s">
        <v>58</v>
      </c>
      <c r="C14" t="str">
        <f>IFERROR(INDEX(Stock_Data!$B$3:$B$27,MATCH(B14,Stock_Data!$C$3:$C$27,0)),"")</f>
        <v>Kenya Power</v>
      </c>
      <c r="D14" t="str">
        <f>IFERROR(VLOOKUP(B14,Stock_Data!C7:D31,2,0),"")</f>
        <v>Energy</v>
      </c>
      <c r="E14">
        <f>IFERROR(VLOOKUP(B14,Stock_Data!$C$3:$E$27,3,0),"")</f>
        <v>3.6</v>
      </c>
      <c r="F14">
        <f>IFERROR(VLOOKUP(B14,Screener!$C$7:$J$31,8,0),"")</f>
        <v>49.795000000000002</v>
      </c>
      <c r="G14" t="str">
        <f>IFERROR(VLOOKUP(B14,Screener!$C$7:$L$31,10,0),"")</f>
        <v>Hold</v>
      </c>
      <c r="H14" s="23">
        <v>40000</v>
      </c>
      <c r="I14" s="25">
        <f t="shared" si="0"/>
        <v>0.11235955056179775</v>
      </c>
      <c r="J14">
        <f t="shared" si="1"/>
        <v>11111</v>
      </c>
      <c r="K14" s="21">
        <f t="shared" si="2"/>
        <v>39999.599999999999</v>
      </c>
      <c r="L14" s="105">
        <f>IFERROR(VLOOKUP(B14,Stock_Data!$C$3:$L$27,10,0)*J14,"")</f>
        <v>0</v>
      </c>
      <c r="M14" s="24">
        <f>IFERROR(VLOOKUP(B14,Stock_Data!$C$3:$M$27,11,0),"")</f>
        <v>0</v>
      </c>
      <c r="N14" s="1">
        <f t="shared" si="3"/>
        <v>0</v>
      </c>
      <c r="P14" t="str">
        <f t="shared" si="4"/>
        <v>Energy</v>
      </c>
      <c r="Q14" s="21">
        <f t="shared" si="5"/>
        <v>40000</v>
      </c>
    </row>
    <row r="15" spans="1:17" x14ac:dyDescent="0.35">
      <c r="A15">
        <v>6</v>
      </c>
      <c r="B15" t="s">
        <v>66</v>
      </c>
      <c r="C15" t="str">
        <f>IFERROR(INDEX(Stock_Data!$B$3:$B$27,MATCH(B15,Stock_Data!$C$3:$C$27,0)),"")</f>
        <v>Bamburi Cement</v>
      </c>
      <c r="D15" t="str">
        <f>IFERROR(VLOOKUP(B15,Stock_Data!C8:D32,2,0),"")</f>
        <v>Manufacturing</v>
      </c>
      <c r="E15">
        <f>IFERROR(VLOOKUP(B15,Stock_Data!$C$3:$E$27,3,0),"")</f>
        <v>45</v>
      </c>
      <c r="F15">
        <f>IFERROR(VLOOKUP(B15,Screener!$C$7:$J$31,8,0),"")</f>
        <v>41.244999999999997</v>
      </c>
      <c r="G15" t="str">
        <f>IFERROR(VLOOKUP(B15,Screener!$C$7:$L$31,10,0),"")</f>
        <v xml:space="preserve"> Underperform</v>
      </c>
      <c r="H15" s="23">
        <v>1000</v>
      </c>
      <c r="I15" s="25">
        <f t="shared" si="0"/>
        <v>2.8089887640449437E-3</v>
      </c>
      <c r="J15">
        <f t="shared" si="1"/>
        <v>22</v>
      </c>
      <c r="K15" s="21">
        <f t="shared" si="2"/>
        <v>990</v>
      </c>
      <c r="L15" s="105">
        <f>IFERROR(VLOOKUP(B15,Stock_Data!$C$3:$L$27,10,0)*J15,"")</f>
        <v>77</v>
      </c>
      <c r="M15" s="24">
        <f>IFERROR(VLOOKUP(B15,Stock_Data!$C$3:$M$27,11,0),"")</f>
        <v>7.78</v>
      </c>
      <c r="N15" s="1">
        <f t="shared" si="3"/>
        <v>2.1853932584269663E-2</v>
      </c>
      <c r="P15" t="str">
        <f t="shared" si="4"/>
        <v>Manufacturing</v>
      </c>
      <c r="Q15" s="21">
        <f t="shared" si="5"/>
        <v>1000</v>
      </c>
    </row>
    <row r="16" spans="1:17" x14ac:dyDescent="0.35">
      <c r="A16">
        <v>7</v>
      </c>
      <c r="B16" t="s">
        <v>41</v>
      </c>
      <c r="C16" t="str">
        <f>IFERROR(INDEX(Stock_Data!$B$3:$B$27,MATCH(B16,Stock_Data!$C$3:$C$27,0)),"")</f>
        <v>Britam Holdings</v>
      </c>
      <c r="D16" t="str">
        <f>IFERROR(VLOOKUP(B16,Stock_Data!C9:D33,2,0),"")</f>
        <v>Insurance</v>
      </c>
      <c r="E16">
        <f>IFERROR(VLOOKUP(B16,Stock_Data!$C$3:$E$27,3,0),"")</f>
        <v>5.8</v>
      </c>
      <c r="F16">
        <f>IFERROR(VLOOKUP(B16,Screener!$C$7:$J$31,8,0),"")</f>
        <v>29.150000000000002</v>
      </c>
      <c r="G16" t="str">
        <f>IFERROR(VLOOKUP(B16,Screener!$C$7:$L$31,10,0),"")</f>
        <v>Avoid</v>
      </c>
      <c r="H16" s="23">
        <v>5000</v>
      </c>
      <c r="I16" s="25">
        <f t="shared" si="0"/>
        <v>1.4044943820224719E-2</v>
      </c>
      <c r="J16">
        <f t="shared" si="1"/>
        <v>862</v>
      </c>
      <c r="K16" s="21">
        <f t="shared" si="2"/>
        <v>4999.5999999999995</v>
      </c>
      <c r="L16" s="105">
        <f>IFERROR(VLOOKUP(B16,Stock_Data!$C$3:$L$27,10,0)*J16,"")</f>
        <v>172.4</v>
      </c>
      <c r="M16" s="24">
        <f>IFERROR(VLOOKUP(B16,Stock_Data!$C$3:$M$27,11,0),"")</f>
        <v>3.45</v>
      </c>
      <c r="N16" s="1">
        <f t="shared" si="3"/>
        <v>4.8455056179775281E-2</v>
      </c>
      <c r="P16" t="str">
        <f t="shared" si="4"/>
        <v>Insurance</v>
      </c>
      <c r="Q16" s="21">
        <f t="shared" si="5"/>
        <v>5000</v>
      </c>
    </row>
    <row r="17" spans="1:17" x14ac:dyDescent="0.35">
      <c r="A17">
        <v>8</v>
      </c>
      <c r="B17" t="s">
        <v>39</v>
      </c>
      <c r="C17" t="str">
        <f>IFERROR(INDEX(Stock_Data!$B$3:$B$27,MATCH(B17,Stock_Data!$C$3:$C$27,0)),"")</f>
        <v>Kenya Reinsurance</v>
      </c>
      <c r="D17" t="str">
        <f>IFERROR(VLOOKUP(B17,Stock_Data!C10:D34,2,0),"")</f>
        <v>Insurance</v>
      </c>
      <c r="E17">
        <f>IFERROR(VLOOKUP(B17,Stock_Data!$C$3:$E$27,3,0),"")</f>
        <v>2.2999999999999998</v>
      </c>
      <c r="F17">
        <f>IFERROR(VLOOKUP(B17,Screener!$C$7:$J$31,8,0),"")</f>
        <v>74.835000000000008</v>
      </c>
      <c r="G17" t="str">
        <f>IFERROR(VLOOKUP(B17,Screener!$C$7:$L$31,10,0),"")</f>
        <v xml:space="preserve"> Buy</v>
      </c>
      <c r="H17" s="23">
        <v>50000</v>
      </c>
      <c r="I17" s="25">
        <f t="shared" si="0"/>
        <v>0.1404494382022472</v>
      </c>
      <c r="J17">
        <f t="shared" si="1"/>
        <v>21739</v>
      </c>
      <c r="K17" s="21">
        <f t="shared" si="2"/>
        <v>49999.7</v>
      </c>
      <c r="L17" s="105">
        <f>IFERROR(VLOOKUP(B17,Stock_Data!$C$3:$L$27,10,0)*J17,"")</f>
        <v>4347.8</v>
      </c>
      <c r="M17" s="24">
        <f>IFERROR(VLOOKUP(B17,Stock_Data!$C$3:$M$27,11,0),"")</f>
        <v>8.6999999999999993</v>
      </c>
      <c r="N17" s="1">
        <f t="shared" si="3"/>
        <v>1.2219101123595506</v>
      </c>
      <c r="P17" t="str">
        <f t="shared" si="4"/>
        <v>Insurance</v>
      </c>
      <c r="Q17" s="21">
        <f t="shared" si="5"/>
        <v>50000</v>
      </c>
    </row>
    <row r="18" spans="1:17" x14ac:dyDescent="0.35">
      <c r="A18">
        <v>9</v>
      </c>
      <c r="B18" t="s">
        <v>42</v>
      </c>
      <c r="C18" t="str">
        <f>IFERROR(INDEX(Stock_Data!$B$3:$B$27,MATCH(B18,Stock_Data!$C$3:$C$27,0)),"")</f>
        <v>Jubilee Holdings</v>
      </c>
      <c r="D18" t="str">
        <f>IFERROR(VLOOKUP(B18,Stock_Data!C11:D35,2,0),"")</f>
        <v>Insurance</v>
      </c>
      <c r="E18">
        <f>IFERROR(VLOOKUP(B18,Stock_Data!$C$3:$E$27,3,0),"")</f>
        <v>195</v>
      </c>
      <c r="F18">
        <f>IFERROR(VLOOKUP(B18,Screener!$C$7:$J$31,8,0),"")</f>
        <v>53.43</v>
      </c>
      <c r="G18" t="str">
        <f>IFERROR(VLOOKUP(B18,Screener!$C$7:$L$31,10,0),"")</f>
        <v>Hold</v>
      </c>
      <c r="H18" s="23">
        <v>60000</v>
      </c>
      <c r="I18" s="25">
        <f t="shared" si="0"/>
        <v>0.16853932584269662</v>
      </c>
      <c r="J18">
        <f t="shared" si="1"/>
        <v>307</v>
      </c>
      <c r="K18" s="21">
        <f t="shared" si="2"/>
        <v>59865</v>
      </c>
      <c r="L18">
        <f>IFERROR(VLOOKUP(B18,Stock_Data!$C$3:$L$27,10,0)*J18,"")</f>
        <v>2763</v>
      </c>
      <c r="M18" s="24">
        <f>IFERROR(VLOOKUP(B18,Stock_Data!$C$3:$M$27,11,0),"")</f>
        <v>4.62</v>
      </c>
      <c r="N18">
        <f t="shared" ref="N11:N19" si="6">IFERROR(I18*M18,"")</f>
        <v>0.77865168539325846</v>
      </c>
      <c r="P18" t="str">
        <f t="shared" si="4"/>
        <v>Insurance</v>
      </c>
      <c r="Q18" s="21">
        <f t="shared" si="5"/>
        <v>60000</v>
      </c>
    </row>
    <row r="19" spans="1:17" x14ac:dyDescent="0.35">
      <c r="A19">
        <v>10</v>
      </c>
      <c r="B19" t="s">
        <v>49</v>
      </c>
      <c r="C19" t="str">
        <f>IFERROR(INDEX(Stock_Data!$B$3:$B$27,MATCH(B19,Stock_Data!$C$3:$C$27,0)),"")</f>
        <v>Unga Group</v>
      </c>
      <c r="D19" t="str">
        <f>IFERROR(VLOOKUP(B19,Stock_Data!C12:D36,2,0),"")</f>
        <v>Manufacturing</v>
      </c>
      <c r="E19">
        <f>IFERROR(VLOOKUP(B19,Stock_Data!$C$3:$E$27,3,0),"")</f>
        <v>28</v>
      </c>
      <c r="F19">
        <f>IFERROR(VLOOKUP(B19,Screener!$C$7:$J$31,8,0),"")</f>
        <v>37.99</v>
      </c>
      <c r="G19" t="str">
        <f>IFERROR(VLOOKUP(B19,Screener!$C$7:$L$31,10,0),"")</f>
        <v xml:space="preserve"> Underperform</v>
      </c>
      <c r="H19" s="23">
        <v>80000</v>
      </c>
      <c r="I19" s="25">
        <f t="shared" si="0"/>
        <v>0.2247191011235955</v>
      </c>
      <c r="J19">
        <f t="shared" si="1"/>
        <v>2857</v>
      </c>
      <c r="K19" s="21">
        <f t="shared" si="2"/>
        <v>79996</v>
      </c>
      <c r="L19">
        <f>IFERROR(VLOOKUP(B19,Stock_Data!$C$3:$L$27,10,0)*J19,"")</f>
        <v>2857</v>
      </c>
      <c r="M19" s="24">
        <f>IFERROR(VLOOKUP(B19,Stock_Data!$C$3:$M$27,11,0),"")</f>
        <v>3.57</v>
      </c>
      <c r="N19">
        <f t="shared" si="6"/>
        <v>0.80224719101123587</v>
      </c>
      <c r="P19" t="str">
        <f t="shared" si="4"/>
        <v>Manufacturing</v>
      </c>
      <c r="Q19" s="21">
        <f t="shared" si="5"/>
        <v>80000</v>
      </c>
    </row>
    <row r="20" spans="1:17" ht="15" thickBot="1" x14ac:dyDescent="0.4">
      <c r="M20" s="24"/>
    </row>
    <row r="21" spans="1:17" ht="15.5" thickTop="1" thickBot="1" x14ac:dyDescent="0.4">
      <c r="A21" s="27" t="s">
        <v>103</v>
      </c>
      <c r="B21" s="27"/>
    </row>
    <row r="22" spans="1:17" ht="30" thickTop="1" thickBot="1" x14ac:dyDescent="0.4">
      <c r="A22" s="28" t="s">
        <v>105</v>
      </c>
      <c r="B22" s="29">
        <f>SUM(H10:H19)</f>
        <v>356000</v>
      </c>
    </row>
    <row r="23" spans="1:17" ht="15.5" thickTop="1" thickBot="1" x14ac:dyDescent="0.4">
      <c r="A23" s="28" t="s">
        <v>104</v>
      </c>
      <c r="B23" s="29">
        <f>SUM(K10:K19)</f>
        <v>355816.2</v>
      </c>
    </row>
    <row r="24" spans="1:17" ht="15.5" thickTop="1" thickBot="1" x14ac:dyDescent="0.4">
      <c r="A24" s="28" t="s">
        <v>106</v>
      </c>
      <c r="B24" s="30">
        <f>B3 - B22</f>
        <v>-256000</v>
      </c>
    </row>
    <row r="25" spans="1:17" ht="30" thickTop="1" thickBot="1" x14ac:dyDescent="0.4">
      <c r="A25" s="28" t="s">
        <v>107</v>
      </c>
      <c r="B25" s="29">
        <f>SUM(L10:L19)</f>
        <v>19217.7</v>
      </c>
    </row>
    <row r="26" spans="1:17" ht="30" thickTop="1" thickBot="1" x14ac:dyDescent="0.4">
      <c r="A26" s="28" t="s">
        <v>108</v>
      </c>
      <c r="B26" s="31">
        <f>SUM(N10:N19)</f>
        <v>5.4026123595505613</v>
      </c>
    </row>
    <row r="27" spans="1:17" ht="15.5" thickTop="1" thickBot="1" x14ac:dyDescent="0.4">
      <c r="A27" s="27" t="s">
        <v>109</v>
      </c>
      <c r="B27" s="31">
        <f>B26-B4</f>
        <v>-10.097387640449439</v>
      </c>
    </row>
    <row r="28" spans="1:17" ht="16.5" thickTop="1" thickBot="1" x14ac:dyDescent="0.4">
      <c r="A28" s="32" t="s">
        <v>110</v>
      </c>
      <c r="B28" s="27" t="b">
        <f>IF(B27&gt;0,"BEATS")</f>
        <v>0</v>
      </c>
    </row>
    <row r="29" spans="1:17" ht="15" thickTop="1" x14ac:dyDescent="0.35"/>
  </sheetData>
  <mergeCells count="1">
    <mergeCell ref="A1:C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C68C07-A731-4C3D-9D50-EA63462525D1}">
          <x14:formula1>
            <xm:f>Stock_Data!$C$3:$C$27</xm:f>
          </x14:formula1>
          <xm:sqref>B10:B19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4FA1-1297-49B1-824F-30CDEC16ABC7}">
  <sheetPr>
    <tabColor rgb="FF002060"/>
  </sheetPr>
  <dimension ref="A1:J9"/>
  <sheetViews>
    <sheetView topLeftCell="A4" workbookViewId="0">
      <selection activeCell="L5" sqref="L5"/>
    </sheetView>
  </sheetViews>
  <sheetFormatPr defaultRowHeight="14.5" x14ac:dyDescent="0.35"/>
  <cols>
    <col min="1" max="2" width="12.81640625" customWidth="1"/>
    <col min="3" max="3" width="13.08984375" customWidth="1"/>
    <col min="4" max="4" width="9.36328125" bestFit="1" customWidth="1"/>
    <col min="5" max="5" width="14.6328125" customWidth="1"/>
    <col min="6" max="6" width="16.7265625" customWidth="1"/>
    <col min="8" max="8" width="18.1796875" customWidth="1"/>
    <col min="9" max="9" width="9.26953125" customWidth="1"/>
    <col min="10" max="10" width="12.6328125" customWidth="1"/>
  </cols>
  <sheetData>
    <row r="1" spans="1:10" ht="18.5" x14ac:dyDescent="0.45">
      <c r="A1" s="34" t="s">
        <v>112</v>
      </c>
      <c r="B1" s="34"/>
      <c r="C1" s="34"/>
      <c r="D1" s="34"/>
      <c r="E1" s="34"/>
      <c r="F1" s="34"/>
      <c r="G1" s="33"/>
      <c r="H1" s="33"/>
      <c r="I1" s="33"/>
      <c r="J1" s="33"/>
    </row>
    <row r="3" spans="1:10" x14ac:dyDescent="0.35">
      <c r="A3" s="35" t="s">
        <v>3</v>
      </c>
      <c r="B3" s="35" t="s">
        <v>113</v>
      </c>
      <c r="C3" s="35" t="s">
        <v>114</v>
      </c>
      <c r="D3" s="35" t="s">
        <v>115</v>
      </c>
      <c r="E3" s="35" t="s">
        <v>116</v>
      </c>
      <c r="F3" s="35" t="s">
        <v>117</v>
      </c>
      <c r="G3" s="35" t="s">
        <v>118</v>
      </c>
      <c r="H3" s="35" t="s">
        <v>119</v>
      </c>
      <c r="I3" s="35" t="s">
        <v>120</v>
      </c>
      <c r="J3" s="35" t="s">
        <v>121</v>
      </c>
    </row>
    <row r="4" spans="1:10" x14ac:dyDescent="0.35">
      <c r="A4" t="s">
        <v>18</v>
      </c>
      <c r="B4">
        <f>COUNTIF(Stock_Data!D3:D27,A4)</f>
        <v>7</v>
      </c>
      <c r="C4" s="36">
        <f>AVERAGEIF(Stock_Data!D3:D27,A4,Stock_Data!E3:E27)</f>
        <v>63.557142857142857</v>
      </c>
      <c r="D4" s="37">
        <f>AVERAGEIF(Stock_Data!D3:D27,A4,Stock_Data!I3:I27)</f>
        <v>5.0142857142857133</v>
      </c>
      <c r="E4" s="26">
        <f>AVERAGEIF(Stock_Data!D3:D27,A4,Stock_Data!M3:M27)</f>
        <v>7.9071428571428557</v>
      </c>
      <c r="F4" s="24">
        <f>AVERAGEIF(Stock_Data!D3:D27,A4,Stock_Data!N3:N27)</f>
        <v>5.9142857142857155</v>
      </c>
      <c r="G4" s="1">
        <f>AVERAGEIF(Stock_Data!D3:D27,A4,Stock_Data!J3:J27)</f>
        <v>70.985714285714295</v>
      </c>
      <c r="H4" s="9">
        <f>AVERAGEIF(Screener!D7:D31,A4,Screener!J7:J31)</f>
        <v>64.642142857142858</v>
      </c>
      <c r="I4" s="10" t="str">
        <f>IFERROR(INDEX(Stock_Data!$C$3:$C$27,MATCH(_xlfn.MAXIFS(Screener!$J$7:$J$31,Screener!$D$7:$D$31,A4),Screener!$J$7:$J$31,0)),"")</f>
        <v>NCBA</v>
      </c>
      <c r="J4" t="str" cm="1">
        <f t="array" ref="J4">_xlfn.IFS(H4&gt;=70,"Top Tier",H4&gt;=55,"Strong",H4&gt;=40,"Average",H4&lt;40,"Weak")</f>
        <v>Strong</v>
      </c>
    </row>
    <row r="5" spans="1:10" x14ac:dyDescent="0.35">
      <c r="A5" t="s">
        <v>34</v>
      </c>
      <c r="B5">
        <f>COUNTIF(Stock_Data!D4:D28,A5)</f>
        <v>1</v>
      </c>
      <c r="C5" s="36">
        <f>AVERAGEIF(Stock_Data!D4:D28,A5,Stock_Data!E4:E28)</f>
        <v>16.2</v>
      </c>
      <c r="D5" s="37">
        <f>AVERAGEIF(Stock_Data!D4:D28,A5,Stock_Data!I4:I28)</f>
        <v>12.27</v>
      </c>
      <c r="E5" s="26">
        <f>AVERAGEIF(Stock_Data!D4:D28,A5,Stock_Data!M4:M28)</f>
        <v>4.1399999999999997</v>
      </c>
      <c r="F5" s="24">
        <f>AVERAGEIF(Stock_Data!D4:D28,A5,Stock_Data!N4:N28)</f>
        <v>-18.5</v>
      </c>
      <c r="G5" s="1">
        <f>AVERAGEIF(Stock_Data!D4:D28,A5,Stock_Data!J4:J28)</f>
        <v>5.4</v>
      </c>
      <c r="H5" s="9">
        <f>AVERAGEIF(Screener!D8:D32,A5,Screener!J8:J32)</f>
        <v>19.155000000000001</v>
      </c>
      <c r="I5" s="10" t="str">
        <f>IFERROR(INDEX(Stock_Data!$C$3:$C$27,MATCH(_xlfn.MAXIFS(Screener!$J$7:$J$31,Screener!$D$7:$D$31,A5),Screener!$J$7:$J$31,0)),"")</f>
        <v>SCOM</v>
      </c>
      <c r="J5" t="str" cm="1">
        <f t="array" ref="J5">_xlfn.IFS(H5&gt;=70,"Top Tier",H5&gt;=55,"Strong",H5&gt;=40,"Average",H5&lt;40,"Weak")</f>
        <v>Weak</v>
      </c>
    </row>
    <row r="6" spans="1:10" x14ac:dyDescent="0.35">
      <c r="A6" t="s">
        <v>43</v>
      </c>
      <c r="B6">
        <f>COUNTIF(Stock_Data!D5:D29,A6)</f>
        <v>4</v>
      </c>
      <c r="C6" s="36">
        <f>AVERAGEIF(Stock_Data!D5:D29,A6,Stock_Data!E5:E29)</f>
        <v>51.337500000000006</v>
      </c>
      <c r="D6" s="37">
        <f>AVERAGEIF(Stock_Data!D5:D29,A6,Stock_Data!I5:I29)</f>
        <v>8.0549999999999997</v>
      </c>
      <c r="E6" s="26">
        <f>AVERAGEIF(Stock_Data!D5:D29,A6,Stock_Data!M5:M29)</f>
        <v>4.7475000000000005</v>
      </c>
      <c r="F6" s="24">
        <f>AVERAGEIF(Stock_Data!D5:D29,A6,Stock_Data!N5:N29)</f>
        <v>-0.20000000000000018</v>
      </c>
      <c r="G6" s="1">
        <f>AVERAGEIF(Stock_Data!D5:D29,A6,Stock_Data!J5:J29)</f>
        <v>59.6</v>
      </c>
      <c r="H6" s="9">
        <f>AVERAGEIF(Screener!D9:D33,A6,Screener!J9:J33)</f>
        <v>46.811250000000001</v>
      </c>
      <c r="I6" s="10" t="str">
        <f>IFERROR(INDEX(Stock_Data!$C$3:$C$27,MATCH(_xlfn.MAXIFS(Screener!$J$7:$J$31,Screener!$D$7:$D$31,A6),Screener!$J$7:$J$31,0)),"")</f>
        <v>KNRE</v>
      </c>
      <c r="J6" t="str" cm="1">
        <f t="array" ref="J6">_xlfn.IFS(H6&gt;=70,"Top Tier",H6&gt;=55,"Strong",H6&gt;=40,"Average",H6&lt;40,"Weak")</f>
        <v>Average</v>
      </c>
    </row>
    <row r="7" spans="1:10" x14ac:dyDescent="0.35">
      <c r="A7" t="s">
        <v>51</v>
      </c>
      <c r="B7">
        <f>COUNTIF(Stock_Data!D6:D30,A7)</f>
        <v>5</v>
      </c>
      <c r="C7" s="36">
        <f>AVERAGEIF(Stock_Data!D6:D30,A7,Stock_Data!E6:E30)</f>
        <v>125.6</v>
      </c>
      <c r="D7" s="37">
        <f>AVERAGEIF(Stock_Data!D6:D30,A7,Stock_Data!I6:I30)</f>
        <v>9.0800000000000018</v>
      </c>
      <c r="E7" s="26">
        <f>AVERAGEIF(Stock_Data!D6:D30,A7,Stock_Data!M6:M30)</f>
        <v>7.3639999999999999</v>
      </c>
      <c r="F7" s="24">
        <f>AVERAGEIF(Stock_Data!D6:D30,A7,Stock_Data!N6:N30)</f>
        <v>-3.7400000000000007</v>
      </c>
      <c r="G7" s="1">
        <f>AVERAGEIF(Stock_Data!D6:D30,A7,Stock_Data!J6:J30)</f>
        <v>43.760000000000005</v>
      </c>
      <c r="H7" s="9">
        <f>AVERAGEIF(Screener!D10:D34,A7,Screener!J10:J34)</f>
        <v>38.550000000000004</v>
      </c>
      <c r="I7" s="10" t="str">
        <f>IFERROR(INDEX(Stock_Data!$C$3:$C$27,MATCH(_xlfn.MAXIFS(Screener!$J$7:$J$31,Screener!$D$7:$D$31,A7),Screener!$J$7:$J$31,0)),"")</f>
        <v>BERG</v>
      </c>
      <c r="J7" t="str" cm="1">
        <f t="array" ref="J7">_xlfn.IFS(H7&gt;=70,"Top Tier",H7&gt;=55,"Strong",H7&gt;=40,"Average",H7&lt;40,"Weak")</f>
        <v>Weak</v>
      </c>
    </row>
    <row r="8" spans="1:10" x14ac:dyDescent="0.35">
      <c r="A8" t="s">
        <v>60</v>
      </c>
      <c r="B8">
        <f>COUNTIF(Stock_Data!D7:D31,A8)</f>
        <v>4</v>
      </c>
      <c r="C8" s="36">
        <f>AVERAGEIF(Stock_Data!D7:D31,A8,Stock_Data!E7:E31)</f>
        <v>11.275</v>
      </c>
      <c r="D8" s="37">
        <f>AVERAGEIF(Stock_Data!D7:D31,A8,Stock_Data!I7:I31)</f>
        <v>3.86</v>
      </c>
      <c r="E8" s="26">
        <f>AVERAGEIF(Stock_Data!D7:D31,A8,Stock_Data!M7:M31)</f>
        <v>6.835</v>
      </c>
      <c r="F8" s="24">
        <f>AVERAGEIF(Stock_Data!D7:D31,A8,Stock_Data!N7:N31)</f>
        <v>-27.274999999999999</v>
      </c>
      <c r="G8" s="1">
        <f>AVERAGEIF(Stock_Data!D7:D31,A8,Stock_Data!J7:J31)</f>
        <v>12.125</v>
      </c>
      <c r="H8" s="9">
        <f>AVERAGEIF(Screener!D11:D35,A8,Screener!J11:J35)</f>
        <v>57.09</v>
      </c>
      <c r="I8" s="10" t="str">
        <f>IFERROR(INDEX(Stock_Data!$C$3:$C$27,MATCH(_xlfn.MAXIFS(Screener!$J$7:$J$31,Screener!$D$7:$D$31,A8),Screener!$J$7:$J$31,0)),"")</f>
        <v>UMME</v>
      </c>
      <c r="J8" t="str" cm="1">
        <f t="array" ref="J8">_xlfn.IFS(H8&gt;=70,"Top Tier",H8&gt;=55,"Strong",H8&gt;=40,"Average",H8&lt;40,"Weak")</f>
        <v>Strong</v>
      </c>
    </row>
    <row r="9" spans="1:10" x14ac:dyDescent="0.35">
      <c r="A9" t="s">
        <v>71</v>
      </c>
      <c r="B9">
        <f>COUNTIF(Stock_Data!D8:D32,A9)</f>
        <v>4</v>
      </c>
      <c r="C9" s="36">
        <f>AVERAGEIF(Stock_Data!D8:D32,A9,Stock_Data!E8:E32)</f>
        <v>13.9</v>
      </c>
      <c r="D9" s="37">
        <f>AVERAGEIF(Stock_Data!D8:D32,A9,Stock_Data!I8:I32)</f>
        <v>7.0775000000000006</v>
      </c>
      <c r="E9" s="26">
        <f>AVERAGEIF(Stock_Data!D8:D32,A9,Stock_Data!M8:M32)</f>
        <v>6.18</v>
      </c>
      <c r="F9" s="24">
        <f>AVERAGEIF(Stock_Data!D8:D32,A9,Stock_Data!N8:N32)</f>
        <v>-2.8499999999999996</v>
      </c>
      <c r="G9" s="1">
        <f>AVERAGEIF(Stock_Data!D8:D32,A9,Stock_Data!J8:J32)</f>
        <v>23.1</v>
      </c>
      <c r="H9" s="9">
        <f>AVERAGEIF(Screener!D12:D36,A9,Screener!J12:J36)</f>
        <v>62.391249999999999</v>
      </c>
      <c r="I9" s="10" t="str">
        <f>IFERROR(INDEX(Stock_Data!$C$3:$C$27,MATCH(_xlfn.MAXIFS(Screener!$J$7:$J$31,Screener!$D$7:$D$31,A9),Screener!$J$7:$J$31,0)),"")</f>
        <v>IMH</v>
      </c>
      <c r="J9" t="str" cm="1">
        <f t="array" ref="J9">_xlfn.IFS(H9&gt;=70,"Top Tier",H9&gt;=55,"Strong",H9&gt;=40,"Average",H9&lt;40,"Weak")</f>
        <v>Strong</v>
      </c>
    </row>
  </sheetData>
  <conditionalFormatting sqref="H4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0271-A67F-4E74-80CD-EBFC05EADBE4}">
  <sheetPr>
    <tabColor rgb="FFC00000"/>
  </sheetPr>
  <dimension ref="A1:S63"/>
  <sheetViews>
    <sheetView showGridLines="0" topLeftCell="A50" zoomScale="115" zoomScaleNormal="115" workbookViewId="0">
      <selection activeCell="K13" sqref="K13"/>
    </sheetView>
  </sheetViews>
  <sheetFormatPr defaultRowHeight="14.5" x14ac:dyDescent="0.35"/>
  <cols>
    <col min="1" max="1" width="14.453125" customWidth="1"/>
    <col min="2" max="2" width="17.7265625" customWidth="1"/>
    <col min="4" max="4" width="10.54296875" customWidth="1"/>
    <col min="5" max="5" width="17.54296875" customWidth="1"/>
    <col min="6" max="6" width="10.1796875" customWidth="1"/>
    <col min="7" max="7" width="9.7265625" customWidth="1"/>
    <col min="8" max="8" width="10.1796875" customWidth="1"/>
    <col min="9" max="9" width="14.453125" customWidth="1"/>
    <col min="13" max="13" width="19" customWidth="1"/>
    <col min="17" max="17" width="10.36328125" bestFit="1" customWidth="1"/>
  </cols>
  <sheetData>
    <row r="1" spans="1:19" ht="21" x14ac:dyDescent="0.5">
      <c r="A1" s="38" t="s">
        <v>122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3" spans="1:19" x14ac:dyDescent="0.35">
      <c r="A3" s="43" t="s">
        <v>124</v>
      </c>
      <c r="B3" s="41"/>
      <c r="C3" s="41"/>
      <c r="E3" s="44" t="s">
        <v>125</v>
      </c>
      <c r="F3" s="45"/>
      <c r="G3" s="45"/>
      <c r="I3" s="48" t="s">
        <v>127</v>
      </c>
      <c r="J3" s="46"/>
      <c r="K3" s="46"/>
      <c r="M3" s="51" t="s">
        <v>129</v>
      </c>
      <c r="N3" s="49"/>
      <c r="O3" s="49"/>
      <c r="Q3" s="52" t="s">
        <v>131</v>
      </c>
      <c r="R3" s="53"/>
      <c r="S3" s="53"/>
    </row>
    <row r="4" spans="1:19" ht="26" x14ac:dyDescent="0.6">
      <c r="A4" s="42">
        <f>COUNTA(Stock_Data!C3:C27)</f>
        <v>25</v>
      </c>
      <c r="B4" s="41"/>
      <c r="C4" s="41"/>
      <c r="E4" s="60" t="str">
        <f>INDEX(Screener!C7:C31,MATCH(1,Screener!K7:K31,0))</f>
        <v>IMH</v>
      </c>
      <c r="F4" s="45"/>
      <c r="G4" s="45"/>
      <c r="I4" s="47" t="str">
        <f>MAX(Screener!J7:J31)&amp;"/100"</f>
        <v>91.465/100</v>
      </c>
      <c r="J4" s="46"/>
      <c r="K4" s="46"/>
      <c r="M4" s="50">
        <f>Portfolio_Sim!B26</f>
        <v>5.4026123595505613</v>
      </c>
      <c r="N4" s="49"/>
      <c r="O4" s="49"/>
      <c r="Q4" s="54">
        <f>Portfolio_Sim!B27</f>
        <v>-10.097387640449439</v>
      </c>
      <c r="R4" s="53"/>
      <c r="S4" s="53"/>
    </row>
    <row r="5" spans="1:19" x14ac:dyDescent="0.35">
      <c r="A5" s="55" t="s">
        <v>123</v>
      </c>
      <c r="B5" s="41"/>
      <c r="C5" s="41"/>
      <c r="E5" s="56" t="s">
        <v>126</v>
      </c>
      <c r="F5" s="45"/>
      <c r="G5" s="45"/>
      <c r="I5" s="57" t="s">
        <v>128</v>
      </c>
      <c r="J5" s="46"/>
      <c r="K5" s="46"/>
      <c r="M5" s="58" t="s">
        <v>130</v>
      </c>
      <c r="N5" s="49"/>
      <c r="O5" s="49"/>
      <c r="Q5" s="59" t="s">
        <v>132</v>
      </c>
      <c r="R5" s="53"/>
      <c r="S5" s="53"/>
    </row>
    <row r="6" spans="1:19" x14ac:dyDescent="0.35">
      <c r="A6" s="41"/>
      <c r="B6" s="41"/>
      <c r="C6" s="41"/>
      <c r="E6" s="45"/>
      <c r="F6" s="45"/>
      <c r="G6" s="45"/>
      <c r="I6" s="46"/>
      <c r="J6" s="46"/>
      <c r="K6" s="46"/>
      <c r="M6" s="49"/>
      <c r="N6" s="49"/>
      <c r="O6" s="49"/>
      <c r="Q6" s="53"/>
      <c r="R6" s="53"/>
      <c r="S6" s="53"/>
    </row>
    <row r="10" spans="1:19" x14ac:dyDescent="0.35">
      <c r="A10" t="s">
        <v>1</v>
      </c>
      <c r="B10" t="s">
        <v>95</v>
      </c>
    </row>
    <row r="11" spans="1:19" x14ac:dyDescent="0.35">
      <c r="A11" t="str">
        <f>INDEX(Screener!B3:B27,MATCH(B11,Screener!J3:J27,0))</f>
        <v>NCBA Group</v>
      </c>
      <c r="B11">
        <f>LARGE(Screener!J3:J27,1)</f>
        <v>79.75</v>
      </c>
    </row>
    <row r="12" spans="1:19" x14ac:dyDescent="0.35">
      <c r="A12" t="str">
        <f>INDEX(Screener!B4:B28,MATCH(B12,Screener!J4:J28,0))</f>
        <v>Kenya Reinsurance</v>
      </c>
      <c r="B12">
        <f>LARGE(Screener!J3:J27,2)</f>
        <v>74.835000000000008</v>
      </c>
    </row>
    <row r="13" spans="1:19" x14ac:dyDescent="0.35">
      <c r="A13" t="str">
        <f>INDEX(Screener!B5:B29,MATCH(B13,Screener!J5:J29,0))</f>
        <v>Umeme Ltd</v>
      </c>
      <c r="B13">
        <f>LARGE(Screener!J3:J27,3)</f>
        <v>73.745000000000005</v>
      </c>
    </row>
    <row r="14" spans="1:19" x14ac:dyDescent="0.35">
      <c r="A14" t="str">
        <f>INDEX(Screener!B6:B30,MATCH(B14,Screener!J6:J30,0))</f>
        <v>Diamond Trust Bank</v>
      </c>
      <c r="B14">
        <f>LARGE(Screener!J3:J27,4)</f>
        <v>66.62</v>
      </c>
    </row>
    <row r="15" spans="1:19" x14ac:dyDescent="0.35">
      <c r="A15" t="str">
        <f>INDEX(Screener!B7:B31,MATCH(B15,Screener!J7:J31,0))</f>
        <v>Standard Chartered</v>
      </c>
      <c r="B15">
        <f>LARGE(Screener!J3:J27,5)</f>
        <v>65.825000000000003</v>
      </c>
    </row>
    <row r="16" spans="1:19" x14ac:dyDescent="0.35">
      <c r="A16" t="str">
        <f>INDEX(Screener!B8:B32,MATCH(B16,Screener!J8:J32,0))</f>
        <v>Co-operative Bank</v>
      </c>
      <c r="B16">
        <f>LARGE(Screener!J3:J27,6)</f>
        <v>65.58</v>
      </c>
    </row>
    <row r="17" spans="1:2" x14ac:dyDescent="0.35">
      <c r="A17" t="str">
        <f>INDEX(Screener!B9:B33,MATCH(B17,Screener!J9:J33,0))</f>
        <v>Stanbic Holdings</v>
      </c>
      <c r="B17">
        <f>LARGE(Screener!J3:J27,7)</f>
        <v>62.295000000000002</v>
      </c>
    </row>
    <row r="18" spans="1:2" x14ac:dyDescent="0.35">
      <c r="A18" t="str">
        <f>INDEX(Screener!B10:B34,MATCH(B18,Screener!J10:J34,0))</f>
        <v>Crown Paints</v>
      </c>
      <c r="B18">
        <f>LARGE(Screener!J3:J27,8)</f>
        <v>61.305000000000014</v>
      </c>
    </row>
    <row r="19" spans="1:2" x14ac:dyDescent="0.35">
      <c r="A19" t="str">
        <f>INDEX(Screener!B11:B35,MATCH(B19,Screener!J11:J35,0))</f>
        <v>KenolKobil</v>
      </c>
      <c r="B19">
        <f>LARGE(Screener!J3:J27,9)</f>
        <v>57.954999999999998</v>
      </c>
    </row>
    <row r="24" spans="1:2" x14ac:dyDescent="0.35">
      <c r="A24" t="s">
        <v>3</v>
      </c>
      <c r="B24" t="s">
        <v>113</v>
      </c>
    </row>
    <row r="25" spans="1:2" x14ac:dyDescent="0.35">
      <c r="A25" t="s">
        <v>18</v>
      </c>
      <c r="B25">
        <f>COUNTIF(Stock_Data!D3:D27,A25)</f>
        <v>7</v>
      </c>
    </row>
    <row r="26" spans="1:2" x14ac:dyDescent="0.35">
      <c r="A26" t="s">
        <v>34</v>
      </c>
      <c r="B26">
        <f>COUNTIF(Stock_Data!D4:D28,A26)</f>
        <v>1</v>
      </c>
    </row>
    <row r="27" spans="1:2" x14ac:dyDescent="0.35">
      <c r="A27" t="s">
        <v>43</v>
      </c>
      <c r="B27">
        <f>COUNTIF(Stock_Data!D5:D29,A27)</f>
        <v>4</v>
      </c>
    </row>
    <row r="28" spans="1:2" x14ac:dyDescent="0.35">
      <c r="A28" t="s">
        <v>51</v>
      </c>
      <c r="B28">
        <f>COUNTIF(Stock_Data!D6:D30,A28)</f>
        <v>5</v>
      </c>
    </row>
    <row r="29" spans="1:2" x14ac:dyDescent="0.35">
      <c r="A29" t="s">
        <v>60</v>
      </c>
      <c r="B29">
        <f>COUNTIF(Stock_Data!D7:D31,A29)</f>
        <v>4</v>
      </c>
    </row>
    <row r="30" spans="1:2" x14ac:dyDescent="0.35">
      <c r="A30" t="s">
        <v>71</v>
      </c>
      <c r="B30">
        <f>COUNTIF(Stock_Data!D8:D32,A30)</f>
        <v>4</v>
      </c>
    </row>
    <row r="41" spans="1:2" x14ac:dyDescent="0.35">
      <c r="A41" t="s">
        <v>133</v>
      </c>
      <c r="B41" t="s">
        <v>134</v>
      </c>
    </row>
    <row r="42" spans="1:2" x14ac:dyDescent="0.35">
      <c r="A42" t="s">
        <v>135</v>
      </c>
      <c r="B42" s="61">
        <f>Portfolio_Sim!B26</f>
        <v>5.4026123595505613</v>
      </c>
    </row>
    <row r="43" spans="1:2" x14ac:dyDescent="0.35">
      <c r="A43" t="s">
        <v>136</v>
      </c>
      <c r="B43" t="str">
        <f>Assumptions!B4</f>
        <v>Stephen Maina</v>
      </c>
    </row>
    <row r="55" spans="1:10" x14ac:dyDescent="0.35">
      <c r="E55" s="99" t="str">
        <f>IF(X12&gt;X13,"Portfolio BEATS the benchmark by "&amp;ROUND(X12-X13,1)&amp;"%"," Portfolio TRAILS the benchmark by "&amp;ROUND(X13-X12,1)&amp;"%")</f>
        <v xml:space="preserve"> Portfolio TRAILS the benchmark by 0%</v>
      </c>
      <c r="F55" s="99"/>
      <c r="G55" s="99"/>
      <c r="H55" s="99"/>
      <c r="I55" s="99"/>
      <c r="J55" s="99"/>
    </row>
    <row r="57" spans="1:10" ht="15.5" x14ac:dyDescent="0.35">
      <c r="A57" s="100" t="s">
        <v>142</v>
      </c>
      <c r="B57" s="101"/>
      <c r="C57" s="101"/>
      <c r="D57" s="101"/>
      <c r="E57" s="101"/>
      <c r="F57" s="101"/>
      <c r="G57" s="101"/>
      <c r="H57" s="101"/>
    </row>
    <row r="58" spans="1:10" x14ac:dyDescent="0.35">
      <c r="A58" s="63" t="s">
        <v>137</v>
      </c>
      <c r="B58" s="63" t="s">
        <v>138</v>
      </c>
      <c r="C58" s="62" t="s">
        <v>2</v>
      </c>
      <c r="D58" s="63" t="s">
        <v>3</v>
      </c>
      <c r="E58" s="63" t="s">
        <v>139</v>
      </c>
      <c r="F58" s="63" t="s">
        <v>96</v>
      </c>
      <c r="G58" s="63" t="s">
        <v>140</v>
      </c>
      <c r="H58" s="63" t="s">
        <v>141</v>
      </c>
    </row>
    <row r="59" spans="1:10" x14ac:dyDescent="0.35">
      <c r="A59" s="68">
        <v>1</v>
      </c>
      <c r="B59" s="69" t="str">
        <f>INDEX(Screener!$B$7:$B$31,MATCH(1,Screener!$K$7:$K$31,0))</f>
        <v>I&amp;M Holdings</v>
      </c>
      <c r="C59" s="69" t="str">
        <f>INDEX(Screener!$C$8:$C$31,MATCH(1,Screener!$K$8:$K$31,0))</f>
        <v>IMH</v>
      </c>
      <c r="D59" s="69" t="str">
        <f>INDEX(Screener!$D$8:$D$31,MATCH(1,Screener!$K$8:$K$31,0))</f>
        <v>Investment</v>
      </c>
      <c r="E59" s="70">
        <f>INDEX(Screener!$J$8:$J$31,MATCH(1,Screener!$K$8:$K$31,0))</f>
        <v>91.465000000000003</v>
      </c>
      <c r="F59" s="69" t="str">
        <f>INDEX(Screener!$L$8:$L$31,MATCH(1,Screener!$K$8:$K$31,0))</f>
        <v xml:space="preserve"> Strong Buy</v>
      </c>
      <c r="G59" s="71">
        <f>IFERROR(VLOOKUP(C59,Stock_Data!$C$3:$M$27,11,0),"")</f>
        <v>8.16</v>
      </c>
      <c r="H59" s="64" t="str">
        <f>IF(E59&gt;=75,"Strong Buy",IF(E59&gt;=60,"Buy","Hold"))</f>
        <v>Strong Buy</v>
      </c>
    </row>
    <row r="60" spans="1:10" x14ac:dyDescent="0.35">
      <c r="A60" s="72">
        <v>2</v>
      </c>
      <c r="B60" s="73" t="str">
        <f>INDEX(Screener!$B$7:$B$31,MATCH(2,Screener!$K$7:$K$31,0))</f>
        <v>NCBA Group</v>
      </c>
      <c r="C60" s="73" t="str">
        <f>INDEX(Screener!$C$8:$C$31,MATCH(2,Screener!$K$8:$K$31,0))</f>
        <v>NCBA</v>
      </c>
      <c r="D60" s="73" t="str">
        <f>INDEX(Screener!$D$8:$D$31,MATCH(2,Screener!$K$8:$K$31,0))</f>
        <v>Banking</v>
      </c>
      <c r="E60" s="74">
        <f>INDEX(Screener!$J$8:$J$31,MATCH(2,Screener!$K$8:$K$31,0))</f>
        <v>79.75</v>
      </c>
      <c r="F60" s="73" t="str">
        <f>INDEX(Screener!$L$8:$L$31,MATCH(2,Screener!$K$8:$K$31,0))</f>
        <v xml:space="preserve"> Strong Buy</v>
      </c>
      <c r="G60" s="71">
        <f>IFERROR(VLOOKUP(C60,Stock_Data!$C$3:$M$27,11,0),"")</f>
        <v>8.7799999999999994</v>
      </c>
      <c r="H60" s="65" t="str">
        <f>IF(E60&gt;=75,"Strong Buy",IF(E60&gt;=60,"Buy","Hold"))</f>
        <v>Strong Buy</v>
      </c>
    </row>
    <row r="61" spans="1:10" x14ac:dyDescent="0.35">
      <c r="A61" s="75">
        <v>3</v>
      </c>
      <c r="B61" s="76" t="str">
        <f>INDEX(Screener!$B$7:$B$31,MATCH(3,Screener!$K$7:$K$31,0))</f>
        <v>Kenya Reinsurance</v>
      </c>
      <c r="C61" s="76" t="str">
        <f>INDEX(Screener!$C$8:$C$31,MATCH(3,Screener!$K$8:$K$31,0))</f>
        <v>KNRE</v>
      </c>
      <c r="D61" s="76" t="str">
        <f>INDEX(Screener!$D$8:$D$31,MATCH(3,Screener!$K$8:$K$31,0))</f>
        <v>Insurance</v>
      </c>
      <c r="E61" s="77">
        <f>INDEX(Screener!$J$8:$J$31,MATCH(3,Screener!$K$8:$K$31,0))</f>
        <v>74.835000000000008</v>
      </c>
      <c r="F61" s="76" t="str">
        <f>INDEX(Screener!$L$8:$L$31,MATCH(3,Screener!$K$8:$K$31,0))</f>
        <v xml:space="preserve"> Buy</v>
      </c>
      <c r="G61" s="78">
        <f>IFERROR(VLOOKUP(C61,Stock_Data!$C$3:$M$27,11,0),"")</f>
        <v>8.6999999999999993</v>
      </c>
      <c r="H61" s="40" t="str">
        <f>IF(E61&gt;=75,"Strong Buy",IF(E61&gt;=60,"Buy","Hold"))</f>
        <v>Buy</v>
      </c>
    </row>
    <row r="62" spans="1:10" x14ac:dyDescent="0.35">
      <c r="A62" s="79">
        <v>4</v>
      </c>
      <c r="B62" s="80" t="str">
        <f>INDEX(Screener!$B$7:$B$31,MATCH(4,Screener!$K$7:$K$31,0))</f>
        <v>Umeme Ltd</v>
      </c>
      <c r="C62" s="80" t="str">
        <f>INDEX(Screener!$C$8:$C$31,MATCH(4,Screener!$K$8:$K$31,0))</f>
        <v>UMME</v>
      </c>
      <c r="D62" s="80" t="str">
        <f>INDEX(Screener!$D$8:$D$31,MATCH(4,Screener!$K$8:$K$31,0))</f>
        <v>Energy</v>
      </c>
      <c r="E62" s="81">
        <f>INDEX(Screener!$J$8:$J$31,MATCH(4,Screener!$K$8:$K$31,0))</f>
        <v>73.745000000000005</v>
      </c>
      <c r="F62" s="80" t="str">
        <f>INDEX(Screener!$L$8:$L$31,MATCH(4,Screener!$K$8:$K$31,0))</f>
        <v xml:space="preserve"> Buy</v>
      </c>
      <c r="G62" s="82">
        <f>IFERROR(VLOOKUP(C62,Stock_Data!$C$3:$M$27,11,0),"")</f>
        <v>11.76</v>
      </c>
      <c r="H62" s="66" t="str">
        <f t="shared" ref="H62" si="0">IF(E62&gt;=75,"Strong Buy",IF(E62&gt;=60,"Buy","Hold"))</f>
        <v>Buy</v>
      </c>
    </row>
    <row r="63" spans="1:10" x14ac:dyDescent="0.35">
      <c r="A63" s="83">
        <v>5</v>
      </c>
      <c r="B63" s="84" t="str">
        <f>INDEX(Screener!$B$7:$B$31,MATCH(5,Screener!$K$7:$K$31,0))</f>
        <v>Nation Media Group</v>
      </c>
      <c r="C63" s="84" t="str">
        <f>INDEX(Screener!$C$8:$C$31,MATCH(5,Screener!$K$8:$K$31,0))</f>
        <v>NMG</v>
      </c>
      <c r="D63" s="84" t="str">
        <f>INDEX(Screener!$D$8:$D$31,MATCH(5,Screener!$K$8:$K$31,0))</f>
        <v>Investment</v>
      </c>
      <c r="E63" s="85">
        <f>INDEX(Screener!$J$8:$J$31,MATCH(5,Screener!$K$8:$K$31,0))</f>
        <v>71.239999999999995</v>
      </c>
      <c r="F63" s="84" t="str">
        <f>INDEX(Screener!$L$8:$L$31,MATCH(5,Screener!$K$8:$K$31,0))</f>
        <v xml:space="preserve"> Buy</v>
      </c>
      <c r="G63" s="86">
        <f>IFERROR(VLOOKUP(C63,Stock_Data!$C$3:$M$27,11,0),"")</f>
        <v>8.11</v>
      </c>
      <c r="H63" s="67" t="str">
        <f>IF(E63&gt;=75,"Strong Buy",IF(E63&gt;=60,"Buy","Hold"))</f>
        <v>Buy</v>
      </c>
    </row>
  </sheetData>
  <mergeCells count="2">
    <mergeCell ref="E55:J55"/>
    <mergeCell ref="A57:H57"/>
  </mergeCells>
  <conditionalFormatting sqref="E59:E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A505-0E32-49F4-AEBA-2F1ADF24F3AE}">
  <sheetPr>
    <tabColor theme="2" tint="-0.89999084444715716"/>
  </sheetPr>
  <dimension ref="A1:E26"/>
  <sheetViews>
    <sheetView tabSelected="1" topLeftCell="A9" workbookViewId="0">
      <selection activeCell="D14" sqref="D14"/>
    </sheetView>
  </sheetViews>
  <sheetFormatPr defaultRowHeight="14.5" x14ac:dyDescent="0.35"/>
  <cols>
    <col min="1" max="1" width="23.453125" customWidth="1"/>
    <col min="2" max="2" width="29.81640625" customWidth="1"/>
  </cols>
  <sheetData>
    <row r="1" spans="1:5" x14ac:dyDescent="0.35">
      <c r="A1" s="89" t="s">
        <v>144</v>
      </c>
      <c r="B1" s="89"/>
      <c r="C1" s="89"/>
      <c r="D1" s="89"/>
      <c r="E1" s="89"/>
    </row>
    <row r="3" spans="1:5" x14ac:dyDescent="0.35">
      <c r="A3" s="90" t="s">
        <v>145</v>
      </c>
      <c r="B3" s="91" t="s">
        <v>146</v>
      </c>
    </row>
    <row r="4" spans="1:5" x14ac:dyDescent="0.35">
      <c r="A4" s="90" t="s">
        <v>147</v>
      </c>
      <c r="B4" s="91" t="s">
        <v>148</v>
      </c>
    </row>
    <row r="5" spans="1:5" x14ac:dyDescent="0.35">
      <c r="A5" s="90" t="s">
        <v>149</v>
      </c>
      <c r="B5" s="92">
        <v>45627</v>
      </c>
    </row>
    <row r="6" spans="1:5" x14ac:dyDescent="0.35">
      <c r="A6" s="90" t="s">
        <v>150</v>
      </c>
      <c r="B6" s="91" t="s">
        <v>151</v>
      </c>
    </row>
    <row r="8" spans="1:5" x14ac:dyDescent="0.35">
      <c r="A8" s="102" t="s">
        <v>152</v>
      </c>
      <c r="B8" s="102"/>
    </row>
    <row r="9" spans="1:5" x14ac:dyDescent="0.35">
      <c r="A9" s="90" t="s">
        <v>153</v>
      </c>
      <c r="B9" s="93">
        <v>0.25</v>
      </c>
    </row>
    <row r="10" spans="1:5" x14ac:dyDescent="0.35">
      <c r="A10" s="90" t="s">
        <v>154</v>
      </c>
      <c r="B10" s="93">
        <v>0.2</v>
      </c>
    </row>
    <row r="11" spans="1:5" x14ac:dyDescent="0.35">
      <c r="A11" s="90" t="s">
        <v>155</v>
      </c>
      <c r="B11" s="93">
        <v>0.2</v>
      </c>
    </row>
    <row r="12" spans="1:5" x14ac:dyDescent="0.35">
      <c r="A12" s="90" t="s">
        <v>156</v>
      </c>
      <c r="B12" s="93">
        <v>0.2</v>
      </c>
    </row>
    <row r="13" spans="1:5" x14ac:dyDescent="0.35">
      <c r="A13" s="90" t="s">
        <v>157</v>
      </c>
      <c r="B13" s="93">
        <v>0.15</v>
      </c>
    </row>
    <row r="14" spans="1:5" x14ac:dyDescent="0.35">
      <c r="A14" s="90" t="s">
        <v>56</v>
      </c>
      <c r="B14" s="93">
        <f>SUM(B9:B13)</f>
        <v>1</v>
      </c>
    </row>
    <row r="16" spans="1:5" x14ac:dyDescent="0.35">
      <c r="A16" s="103" t="s">
        <v>158</v>
      </c>
      <c r="B16" s="103"/>
    </row>
    <row r="17" spans="1:2" x14ac:dyDescent="0.35">
      <c r="A17" s="90" t="s">
        <v>159</v>
      </c>
      <c r="B17" s="94">
        <v>100000</v>
      </c>
    </row>
    <row r="18" spans="1:2" x14ac:dyDescent="0.35">
      <c r="A18" s="90" t="s">
        <v>160</v>
      </c>
      <c r="B18" s="95">
        <v>0.155</v>
      </c>
    </row>
    <row r="19" spans="1:2" x14ac:dyDescent="0.35">
      <c r="A19" s="90" t="s">
        <v>161</v>
      </c>
      <c r="B19" s="91">
        <v>3</v>
      </c>
    </row>
    <row r="21" spans="1:2" x14ac:dyDescent="0.35">
      <c r="A21" s="104" t="s">
        <v>162</v>
      </c>
      <c r="B21" s="104"/>
    </row>
    <row r="22" spans="1:2" x14ac:dyDescent="0.35">
      <c r="A22" s="90" t="s">
        <v>163</v>
      </c>
      <c r="B22" s="91" t="s">
        <v>168</v>
      </c>
    </row>
    <row r="23" spans="1:2" x14ac:dyDescent="0.35">
      <c r="A23" s="90" t="s">
        <v>164</v>
      </c>
      <c r="B23" s="91" t="s">
        <v>169</v>
      </c>
    </row>
    <row r="24" spans="1:2" x14ac:dyDescent="0.35">
      <c r="A24" s="90" t="s">
        <v>165</v>
      </c>
      <c r="B24" s="91" t="s">
        <v>170</v>
      </c>
    </row>
    <row r="25" spans="1:2" x14ac:dyDescent="0.35">
      <c r="A25" s="90" t="s">
        <v>166</v>
      </c>
      <c r="B25" s="91" t="s">
        <v>171</v>
      </c>
    </row>
    <row r="26" spans="1:2" x14ac:dyDescent="0.35">
      <c r="A26" s="90" t="s">
        <v>167</v>
      </c>
      <c r="B26" s="91" t="s">
        <v>172</v>
      </c>
    </row>
  </sheetData>
  <mergeCells count="3">
    <mergeCell ref="A8:B8"/>
    <mergeCell ref="A16:B16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Stock_Data</vt:lpstr>
      <vt:lpstr>Screener</vt:lpstr>
      <vt:lpstr>Portfolio_Sim</vt:lpstr>
      <vt:lpstr>Sector_Analysis</vt:lpstr>
      <vt:lpstr>Dashboard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Stephen Maina</cp:lastModifiedBy>
  <dcterms:created xsi:type="dcterms:W3CDTF">2026-05-27T12:08:48Z</dcterms:created>
  <dcterms:modified xsi:type="dcterms:W3CDTF">2026-06-01T21:48:52Z</dcterms:modified>
</cp:coreProperties>
</file>